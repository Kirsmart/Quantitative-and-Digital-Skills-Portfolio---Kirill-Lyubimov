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b94c465f224eb12/Рабочий стол/"/>
    </mc:Choice>
  </mc:AlternateContent>
  <xr:revisionPtr revIDLastSave="0" documentId="8_{BC368AA4-D550-47A6-8C82-EE4CB4C1B407}" xr6:coauthVersionLast="47" xr6:coauthVersionMax="47" xr10:uidLastSave="{00000000-0000-0000-0000-000000000000}"/>
  <bookViews>
    <workbookView xWindow="200" yWindow="720" windowWidth="21400" windowHeight="13680" xr2:uid="{00000000-000D-0000-FFFF-FFFF00000000}"/>
  </bookViews>
  <sheets>
    <sheet name="Decile Analysis" sheetId="1" r:id="rId1"/>
    <sheet name="Cohort Analysis" sheetId="2" r:id="rId2"/>
    <sheet name="Cohort Analysis 3" sheetId="3" r:id="rId3"/>
    <sheet name="Yearly summarize table" sheetId="4" r:id="rId4"/>
  </sheets>
  <calcPr calcId="191029"/>
  <pivotCaches>
    <pivotCache cacheId="5" r:id="rId5"/>
    <pivotCache cacheId="8" r:id="rId6"/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7" i="3" l="1"/>
  <c r="D57" i="3"/>
  <c r="C57" i="3"/>
  <c r="I56" i="3"/>
  <c r="W18" i="3" s="1"/>
  <c r="H56" i="3"/>
  <c r="G56" i="3"/>
  <c r="F56" i="3"/>
  <c r="I55" i="3"/>
  <c r="H55" i="3"/>
  <c r="G55" i="3"/>
  <c r="Q17" i="3" s="1"/>
  <c r="F55" i="3"/>
  <c r="I54" i="3"/>
  <c r="W16" i="3" s="1"/>
  <c r="H54" i="3"/>
  <c r="G54" i="3"/>
  <c r="F54" i="3"/>
  <c r="I53" i="3"/>
  <c r="H53" i="3"/>
  <c r="G53" i="3"/>
  <c r="Q15" i="3" s="1"/>
  <c r="F53" i="3"/>
  <c r="I52" i="3"/>
  <c r="W14" i="3" s="1"/>
  <c r="H52" i="3"/>
  <c r="G52" i="3"/>
  <c r="F52" i="3"/>
  <c r="I51" i="3"/>
  <c r="H51" i="3"/>
  <c r="G51" i="3"/>
  <c r="F51" i="3"/>
  <c r="I50" i="3"/>
  <c r="W12" i="3" s="1"/>
  <c r="H50" i="3"/>
  <c r="G50" i="3"/>
  <c r="F50" i="3"/>
  <c r="I49" i="3"/>
  <c r="H49" i="3"/>
  <c r="G49" i="3"/>
  <c r="F49" i="3"/>
  <c r="I48" i="3"/>
  <c r="W10" i="3" s="1"/>
  <c r="H48" i="3"/>
  <c r="G48" i="3"/>
  <c r="F48" i="3"/>
  <c r="E38" i="3"/>
  <c r="D38" i="3"/>
  <c r="C38" i="3"/>
  <c r="I37" i="3"/>
  <c r="H37" i="3"/>
  <c r="S18" i="3" s="1"/>
  <c r="G37" i="3"/>
  <c r="F37" i="3"/>
  <c r="I36" i="3"/>
  <c r="H36" i="3"/>
  <c r="S17" i="3" s="1"/>
  <c r="G36" i="3"/>
  <c r="F36" i="3"/>
  <c r="I35" i="3"/>
  <c r="H35" i="3"/>
  <c r="S16" i="3" s="1"/>
  <c r="G35" i="3"/>
  <c r="F35" i="3"/>
  <c r="I34" i="3"/>
  <c r="H34" i="3"/>
  <c r="S15" i="3" s="1"/>
  <c r="G34" i="3"/>
  <c r="F34" i="3"/>
  <c r="I33" i="3"/>
  <c r="H33" i="3"/>
  <c r="S14" i="3" s="1"/>
  <c r="G33" i="3"/>
  <c r="F33" i="3"/>
  <c r="I32" i="3"/>
  <c r="H32" i="3"/>
  <c r="S13" i="3" s="1"/>
  <c r="G32" i="3"/>
  <c r="F32" i="3"/>
  <c r="I31" i="3"/>
  <c r="H31" i="3"/>
  <c r="S12" i="3" s="1"/>
  <c r="G31" i="3"/>
  <c r="F31" i="3"/>
  <c r="I30" i="3"/>
  <c r="H30" i="3"/>
  <c r="S11" i="3" s="1"/>
  <c r="G30" i="3"/>
  <c r="F30" i="3"/>
  <c r="I29" i="3"/>
  <c r="H29" i="3"/>
  <c r="S10" i="3" s="1"/>
  <c r="G29" i="3"/>
  <c r="F29" i="3"/>
  <c r="I28" i="3"/>
  <c r="H28" i="3"/>
  <c r="S9" i="3" s="1"/>
  <c r="G28" i="3"/>
  <c r="F28" i="3"/>
  <c r="I27" i="3"/>
  <c r="H27" i="3"/>
  <c r="S8" i="3" s="1"/>
  <c r="G27" i="3"/>
  <c r="F27" i="3"/>
  <c r="I26" i="3"/>
  <c r="H26" i="3"/>
  <c r="S7" i="3" s="1"/>
  <c r="G26" i="3"/>
  <c r="F26" i="3"/>
  <c r="I25" i="3"/>
  <c r="H25" i="3"/>
  <c r="S6" i="3" s="1"/>
  <c r="G25" i="3"/>
  <c r="F25" i="3"/>
  <c r="E19" i="3"/>
  <c r="D19" i="3"/>
  <c r="C19" i="3"/>
  <c r="V18" i="3"/>
  <c r="U18" i="3"/>
  <c r="T18" i="3"/>
  <c r="R18" i="3"/>
  <c r="Q18" i="3"/>
  <c r="P18" i="3"/>
  <c r="O18" i="3"/>
  <c r="N18" i="3"/>
  <c r="M18" i="3"/>
  <c r="L18" i="3"/>
  <c r="I18" i="3"/>
  <c r="H18" i="3"/>
  <c r="G18" i="3"/>
  <c r="F18" i="3"/>
  <c r="W17" i="3"/>
  <c r="V17" i="3"/>
  <c r="U17" i="3"/>
  <c r="T17" i="3"/>
  <c r="P17" i="3"/>
  <c r="O17" i="3"/>
  <c r="N17" i="3"/>
  <c r="M17" i="3"/>
  <c r="L17" i="3"/>
  <c r="I17" i="3"/>
  <c r="H17" i="3"/>
  <c r="R17" i="3" s="1"/>
  <c r="G17" i="3"/>
  <c r="F17" i="3"/>
  <c r="V16" i="3"/>
  <c r="U16" i="3"/>
  <c r="T16" i="3"/>
  <c r="Q16" i="3"/>
  <c r="P16" i="3"/>
  <c r="O16" i="3"/>
  <c r="N16" i="3"/>
  <c r="M16" i="3"/>
  <c r="L16" i="3"/>
  <c r="I16" i="3"/>
  <c r="H16" i="3"/>
  <c r="R16" i="3" s="1"/>
  <c r="G16" i="3"/>
  <c r="F16" i="3"/>
  <c r="W15" i="3"/>
  <c r="V15" i="3"/>
  <c r="U15" i="3"/>
  <c r="T15" i="3"/>
  <c r="P15" i="3"/>
  <c r="O15" i="3"/>
  <c r="N15" i="3"/>
  <c r="M15" i="3"/>
  <c r="L15" i="3"/>
  <c r="I15" i="3"/>
  <c r="H15" i="3"/>
  <c r="R15" i="3" s="1"/>
  <c r="G15" i="3"/>
  <c r="F15" i="3"/>
  <c r="V14" i="3"/>
  <c r="U14" i="3"/>
  <c r="T14" i="3"/>
  <c r="Q14" i="3"/>
  <c r="P14" i="3"/>
  <c r="N14" i="3"/>
  <c r="M14" i="3"/>
  <c r="L14" i="3"/>
  <c r="I14" i="3"/>
  <c r="H14" i="3"/>
  <c r="R14" i="3" s="1"/>
  <c r="G14" i="3"/>
  <c r="O14" i="3" s="1"/>
  <c r="F14" i="3"/>
  <c r="W13" i="3"/>
  <c r="V13" i="3"/>
  <c r="U13" i="3"/>
  <c r="T13" i="3"/>
  <c r="Q13" i="3"/>
  <c r="P13" i="3"/>
  <c r="N13" i="3"/>
  <c r="M13" i="3"/>
  <c r="L13" i="3"/>
  <c r="I13" i="3"/>
  <c r="H13" i="3"/>
  <c r="R13" i="3" s="1"/>
  <c r="G13" i="3"/>
  <c r="O13" i="3" s="1"/>
  <c r="F13" i="3"/>
  <c r="V12" i="3"/>
  <c r="U12" i="3"/>
  <c r="T12" i="3"/>
  <c r="Q12" i="3"/>
  <c r="P12" i="3"/>
  <c r="N12" i="3"/>
  <c r="M12" i="3"/>
  <c r="L12" i="3"/>
  <c r="I12" i="3"/>
  <c r="H12" i="3"/>
  <c r="R12" i="3" s="1"/>
  <c r="G12" i="3"/>
  <c r="O12" i="3" s="1"/>
  <c r="F12" i="3"/>
  <c r="W11" i="3"/>
  <c r="V11" i="3"/>
  <c r="U11" i="3"/>
  <c r="T11" i="3"/>
  <c r="Q11" i="3"/>
  <c r="P11" i="3"/>
  <c r="N11" i="3"/>
  <c r="M11" i="3"/>
  <c r="L11" i="3"/>
  <c r="I11" i="3"/>
  <c r="H11" i="3"/>
  <c r="R11" i="3" s="1"/>
  <c r="G11" i="3"/>
  <c r="O11" i="3" s="1"/>
  <c r="F11" i="3"/>
  <c r="V10" i="3"/>
  <c r="U10" i="3"/>
  <c r="T10" i="3"/>
  <c r="Q10" i="3"/>
  <c r="P10" i="3"/>
  <c r="N10" i="3"/>
  <c r="M10" i="3"/>
  <c r="L10" i="3"/>
  <c r="I10" i="3"/>
  <c r="H10" i="3"/>
  <c r="R10" i="3" s="1"/>
  <c r="G10" i="3"/>
  <c r="O10" i="3" s="1"/>
  <c r="F10" i="3"/>
  <c r="W9" i="3"/>
  <c r="V9" i="3"/>
  <c r="U9" i="3"/>
  <c r="T9" i="3"/>
  <c r="Q9" i="3"/>
  <c r="P9" i="3"/>
  <c r="N9" i="3"/>
  <c r="M9" i="3"/>
  <c r="L9" i="3"/>
  <c r="I9" i="3"/>
  <c r="H9" i="3"/>
  <c r="R9" i="3" s="1"/>
  <c r="G9" i="3"/>
  <c r="O9" i="3" s="1"/>
  <c r="F9" i="3"/>
  <c r="W8" i="3"/>
  <c r="V8" i="3"/>
  <c r="U8" i="3"/>
  <c r="T8" i="3"/>
  <c r="Q8" i="3"/>
  <c r="P8" i="3"/>
  <c r="N8" i="3"/>
  <c r="M8" i="3"/>
  <c r="L8" i="3"/>
  <c r="I8" i="3"/>
  <c r="H8" i="3"/>
  <c r="R8" i="3" s="1"/>
  <c r="G8" i="3"/>
  <c r="O8" i="3" s="1"/>
  <c r="F8" i="3"/>
  <c r="W7" i="3"/>
  <c r="V7" i="3"/>
  <c r="U7" i="3"/>
  <c r="T7" i="3"/>
  <c r="Q7" i="3"/>
  <c r="P7" i="3"/>
  <c r="N7" i="3"/>
  <c r="M7" i="3"/>
  <c r="L7" i="3"/>
  <c r="I7" i="3"/>
  <c r="H7" i="3"/>
  <c r="R7" i="3" s="1"/>
  <c r="G7" i="3"/>
  <c r="O7" i="3" s="1"/>
  <c r="F7" i="3"/>
  <c r="W6" i="3"/>
  <c r="V6" i="3"/>
  <c r="U6" i="3"/>
  <c r="T6" i="3"/>
  <c r="Q6" i="3"/>
  <c r="P6" i="3"/>
  <c r="N6" i="3"/>
  <c r="M6" i="3"/>
  <c r="L6" i="3"/>
  <c r="I6" i="3"/>
  <c r="H6" i="3"/>
  <c r="R6" i="3" s="1"/>
  <c r="G6" i="3"/>
  <c r="O6" i="3" s="1"/>
  <c r="F6" i="3"/>
  <c r="W5" i="3"/>
  <c r="V5" i="3"/>
  <c r="U5" i="3"/>
  <c r="T5" i="3"/>
  <c r="S5" i="3"/>
  <c r="Q5" i="3"/>
  <c r="P5" i="3"/>
  <c r="N5" i="3"/>
  <c r="M5" i="3"/>
  <c r="L5" i="3"/>
  <c r="I5" i="3"/>
  <c r="H5" i="3"/>
  <c r="R5" i="3" s="1"/>
  <c r="G5" i="3"/>
  <c r="O5" i="3" s="1"/>
  <c r="F5" i="3"/>
  <c r="I17" i="2"/>
  <c r="H17" i="2"/>
  <c r="G17" i="2"/>
  <c r="F17" i="2"/>
  <c r="I16" i="2"/>
  <c r="H16" i="2"/>
  <c r="G16" i="2"/>
  <c r="F16" i="2"/>
  <c r="I15" i="2"/>
  <c r="H15" i="2"/>
  <c r="G15" i="2"/>
  <c r="F15" i="2"/>
  <c r="I14" i="2"/>
  <c r="H14" i="2"/>
  <c r="G14" i="2"/>
  <c r="F14" i="2"/>
  <c r="I13" i="2"/>
  <c r="H13" i="2"/>
  <c r="G13" i="2"/>
  <c r="F13" i="2"/>
  <c r="I12" i="2"/>
  <c r="H12" i="2"/>
  <c r="G12" i="2"/>
  <c r="F12" i="2"/>
  <c r="I11" i="2"/>
  <c r="H11" i="2"/>
  <c r="G11" i="2"/>
  <c r="F11" i="2"/>
  <c r="I10" i="2"/>
  <c r="H10" i="2"/>
  <c r="G10" i="2"/>
  <c r="F10" i="2"/>
  <c r="I9" i="2"/>
  <c r="H9" i="2"/>
  <c r="G9" i="2"/>
  <c r="F9" i="2"/>
  <c r="I8" i="2"/>
  <c r="H8" i="2"/>
  <c r="G8" i="2"/>
  <c r="F8" i="2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I3" i="2"/>
  <c r="H3" i="2"/>
  <c r="G3" i="2"/>
  <c r="F3" i="2"/>
  <c r="I2" i="2"/>
  <c r="H2" i="2"/>
  <c r="G2" i="2"/>
  <c r="F2" i="2"/>
  <c r="K19" i="1"/>
  <c r="K20" i="1" s="1"/>
  <c r="K21" i="1" s="1"/>
  <c r="K22" i="1" s="1"/>
  <c r="K23" i="1" s="1"/>
  <c r="K24" i="1" s="1"/>
  <c r="K25" i="1" s="1"/>
  <c r="K26" i="1" s="1"/>
  <c r="K27" i="1" s="1"/>
  <c r="J19" i="1"/>
  <c r="J20" i="1" s="1"/>
  <c r="J21" i="1" s="1"/>
  <c r="J22" i="1" s="1"/>
  <c r="J23" i="1" s="1"/>
  <c r="J24" i="1" s="1"/>
  <c r="J25" i="1" s="1"/>
  <c r="J26" i="1" s="1"/>
  <c r="J27" i="1" s="1"/>
  <c r="G12" i="1"/>
  <c r="E12" i="1"/>
  <c r="T6" i="1" s="1"/>
  <c r="D12" i="1"/>
  <c r="H12" i="1" s="1"/>
  <c r="C12" i="1"/>
  <c r="G11" i="1" s="1"/>
  <c r="B12" i="1"/>
  <c r="Q7" i="1" s="1"/>
  <c r="V11" i="1"/>
  <c r="U11" i="1"/>
  <c r="S11" i="1"/>
  <c r="R11" i="1"/>
  <c r="J11" i="1"/>
  <c r="H11" i="1"/>
  <c r="F11" i="1"/>
  <c r="V10" i="1"/>
  <c r="U10" i="1"/>
  <c r="R10" i="1"/>
  <c r="Q10" i="1"/>
  <c r="J10" i="1"/>
  <c r="H10" i="1"/>
  <c r="G10" i="1"/>
  <c r="V9" i="1"/>
  <c r="U9" i="1"/>
  <c r="R9" i="1"/>
  <c r="J9" i="1"/>
  <c r="G9" i="1"/>
  <c r="F9" i="1"/>
  <c r="V8" i="1"/>
  <c r="U8" i="1"/>
  <c r="S8" i="1"/>
  <c r="R8" i="1"/>
  <c r="J8" i="1"/>
  <c r="G8" i="1"/>
  <c r="V7" i="1"/>
  <c r="U7" i="1"/>
  <c r="S7" i="1"/>
  <c r="R7" i="1"/>
  <c r="J7" i="1"/>
  <c r="H7" i="1"/>
  <c r="G7" i="1"/>
  <c r="V6" i="1"/>
  <c r="U6" i="1"/>
  <c r="S6" i="1"/>
  <c r="R6" i="1"/>
  <c r="Q6" i="1"/>
  <c r="J6" i="1"/>
  <c r="H6" i="1"/>
  <c r="G6" i="1"/>
  <c r="V5" i="1"/>
  <c r="U5" i="1"/>
  <c r="T5" i="1"/>
  <c r="S5" i="1"/>
  <c r="R5" i="1"/>
  <c r="Q5" i="1"/>
  <c r="J5" i="1"/>
  <c r="H5" i="1"/>
  <c r="G5" i="1"/>
  <c r="F5" i="1"/>
  <c r="V4" i="1"/>
  <c r="U4" i="1"/>
  <c r="S4" i="1"/>
  <c r="Q4" i="1"/>
  <c r="J4" i="1"/>
  <c r="I4" i="1"/>
  <c r="H4" i="1"/>
  <c r="G4" i="1"/>
  <c r="F4" i="1"/>
  <c r="V3" i="1"/>
  <c r="U3" i="1"/>
  <c r="S3" i="1"/>
  <c r="R3" i="1"/>
  <c r="L3" i="1"/>
  <c r="J3" i="1"/>
  <c r="G3" i="1"/>
  <c r="V2" i="1"/>
  <c r="U2" i="1"/>
  <c r="S2" i="1"/>
  <c r="R2" i="1"/>
  <c r="L2" i="1"/>
  <c r="K2" i="1"/>
  <c r="J2" i="1"/>
  <c r="G2" i="1"/>
  <c r="F2" i="1"/>
  <c r="R12" i="1" l="1"/>
  <c r="T3" i="1"/>
  <c r="I10" i="1"/>
  <c r="T11" i="1"/>
  <c r="I3" i="1"/>
  <c r="T4" i="1"/>
  <c r="I11" i="1"/>
  <c r="H2" i="1"/>
  <c r="T2" i="1"/>
  <c r="I6" i="1"/>
  <c r="F7" i="1"/>
  <c r="T7" i="1"/>
  <c r="Q8" i="1"/>
  <c r="H9" i="1"/>
  <c r="S10" i="1"/>
  <c r="I8" i="1"/>
  <c r="T9" i="1"/>
  <c r="I12" i="1"/>
  <c r="I2" i="1"/>
  <c r="Q3" i="1"/>
  <c r="I9" i="1"/>
  <c r="F10" i="1"/>
  <c r="T10" i="1"/>
  <c r="Q11" i="1"/>
  <c r="F3" i="1"/>
  <c r="I7" i="1"/>
  <c r="F8" i="1"/>
  <c r="T8" i="1"/>
  <c r="Q9" i="1"/>
  <c r="F12" i="1"/>
  <c r="Q2" i="1"/>
  <c r="H3" i="1"/>
  <c r="R4" i="1"/>
  <c r="I5" i="1"/>
  <c r="F6" i="1"/>
  <c r="H8" i="1"/>
  <c r="S9" i="1"/>
  <c r="S12" i="1" s="1"/>
  <c r="Q12" i="1" l="1"/>
  <c r="T12" i="1"/>
</calcChain>
</file>

<file path=xl/sharedStrings.xml><?xml version="1.0" encoding="utf-8"?>
<sst xmlns="http://schemas.openxmlformats.org/spreadsheetml/2006/main" count="177" uniqueCount="63">
  <si>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</si>
  <si>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</si>
  <si>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</si>
  <si>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</si>
  <si>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</si>
  <si>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</si>
  <si>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</si>
  <si>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</si>
  <si>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</si>
  <si>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</si>
  <si>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% Customers</t>
  </si>
  <si>
    <t>% Transactions</t>
  </si>
  <si>
    <t>% Revenue</t>
  </si>
  <si>
    <t>% Profit</t>
  </si>
  <si>
    <t>AOF</t>
  </si>
  <si>
    <t>AOV</t>
  </si>
  <si>
    <t>TOTAL</t>
  </si>
  <si>
    <t>SUM of % Customers</t>
  </si>
  <si>
    <t>SUM of Profit</t>
  </si>
  <si>
    <t>SUM of Revenue</t>
  </si>
  <si>
    <t>Cummulative Revenue</t>
  </si>
  <si>
    <t>Cummulative Profit</t>
  </si>
  <si>
    <t>Grand Total</t>
  </si>
  <si>
    <t>Quarter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</si>
  <si>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</si>
  <si>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</si>
  <si>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</si>
  <si>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</si>
  <si>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</si>
  <si>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</si>
  <si>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</si>
  <si>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</si>
  <si>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</si>
  <si>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</si>
  <si>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</si>
  <si>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</si>
  <si>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</si>
  <si>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</si>
  <si>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</si>
  <si>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</si>
  <si>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</si>
  <si>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</si>
  <si>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</si>
  <si>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Revenue of Q32021</t>
  </si>
  <si>
    <t>Profit of Q32021</t>
  </si>
  <si>
    <t>Q4 2021</t>
  </si>
  <si>
    <t>Q4 2022</t>
  </si>
  <si>
    <t>Revenue of Q42021</t>
  </si>
  <si>
    <t>Profit of Q42021</t>
  </si>
  <si>
    <t>%Active</t>
  </si>
  <si>
    <t>Revenue  of Q42022</t>
  </si>
  <si>
    <t>Profit of Q42022</t>
  </si>
  <si>
    <t>Pre-2021</t>
  </si>
  <si>
    <t/>
  </si>
  <si>
    <t>0-1500</t>
  </si>
  <si>
    <t>1500-3000</t>
  </si>
  <si>
    <t>3000-4500</t>
  </si>
  <si>
    <t>4500-6000</t>
  </si>
  <si>
    <t>6000-7500</t>
  </si>
  <si>
    <t>1,5-2</t>
  </si>
  <si>
    <t>1-1,5</t>
  </si>
  <si>
    <t>2,5-3</t>
  </si>
  <si>
    <t>5,5-6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</si>
</sst>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$-409]#,##0"/>
    <numFmt numFmtId="166" formatCode="#,##0.0"/>
  </numFmts>
  <fonts count="10" x14ac:knownFonts="1">
    <font>
      <sz val="10"/>
      <color rgb="FF000000"/>
      <name val="Arial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8093B3"/>
        <bgColor rgb="FF8093B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3">
    <xf numFmtId="0" fontId="0" fillId="0" borderId="0" xfId="0" applyFont="1" applyAlignment="1"/>
    <xf numFmtId="0" fontId="1" fillId="2" borderId="0" xfId="0" applyFont="1" applyFill="1" applyAlignment="1">
      <alignment horizontal="right" wrapText="1"/>
    </xf>
    <xf numFmtId="10" fontId="1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1" fillId="4" borderId="0" xfId="0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9" fontId="2" fillId="2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" fillId="0" borderId="1" xfId="0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5" fontId="1" fillId="4" borderId="1" xfId="0" applyNumberFormat="1" applyFont="1" applyFill="1" applyBorder="1" applyAlignment="1">
      <alignment horizontal="right"/>
    </xf>
    <xf numFmtId="164" fontId="1" fillId="4" borderId="0" xfId="0" applyNumberFormat="1" applyFont="1" applyFill="1" applyAlignment="1">
      <alignment horizontal="right"/>
    </xf>
    <xf numFmtId="165" fontId="1" fillId="4" borderId="0" xfId="0" applyNumberFormat="1" applyFont="1" applyFill="1" applyAlignment="1">
      <alignment horizontal="right"/>
    </xf>
    <xf numFmtId="9" fontId="1" fillId="4" borderId="0" xfId="0" applyNumberFormat="1" applyFont="1" applyFill="1" applyAlignment="1">
      <alignment horizontal="right"/>
    </xf>
    <xf numFmtId="0" fontId="1" fillId="2" borderId="3" xfId="0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  <xf numFmtId="0" fontId="1" fillId="5" borderId="4" xfId="0" applyFont="1" applyFill="1" applyBorder="1" applyAlignment="1"/>
    <xf numFmtId="3" fontId="1" fillId="5" borderId="4" xfId="0" applyNumberFormat="1" applyFont="1" applyFill="1" applyBorder="1" applyAlignment="1">
      <alignment horizontal="right"/>
    </xf>
    <xf numFmtId="9" fontId="2" fillId="5" borderId="0" xfId="0" applyNumberFormat="1" applyFont="1" applyFill="1" applyAlignment="1">
      <alignment horizontal="right"/>
    </xf>
    <xf numFmtId="10" fontId="2" fillId="5" borderId="0" xfId="0" applyNumberFormat="1" applyFont="1" applyFill="1" applyAlignment="1">
      <alignment horizontal="right"/>
    </xf>
    <xf numFmtId="4" fontId="2" fillId="4" borderId="0" xfId="0" applyNumberFormat="1" applyFont="1" applyFill="1" applyAlignment="1"/>
    <xf numFmtId="4" fontId="2" fillId="5" borderId="0" xfId="0" applyNumberFormat="1" applyFont="1" applyFill="1" applyAlignment="1">
      <alignment horizontal="right"/>
    </xf>
    <xf numFmtId="164" fontId="2" fillId="5" borderId="0" xfId="0" applyNumberFormat="1" applyFont="1" applyFill="1" applyAlignment="1">
      <alignment horizontal="right"/>
    </xf>
    <xf numFmtId="165" fontId="2" fillId="5" borderId="0" xfId="0" applyNumberFormat="1" applyFont="1" applyFill="1" applyAlignment="1">
      <alignment horizontal="right"/>
    </xf>
    <xf numFmtId="0" fontId="2" fillId="0" borderId="1" xfId="0" applyFont="1" applyBorder="1" applyAlignment="1"/>
    <xf numFmtId="9" fontId="2" fillId="0" borderId="1" xfId="0" applyNumberFormat="1" applyFont="1" applyBorder="1" applyAlignment="1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2" fillId="0" borderId="0" xfId="0" applyFont="1" applyAlignment="1"/>
    <xf numFmtId="0" fontId="1" fillId="6" borderId="2" xfId="0" applyFont="1" applyFill="1" applyBorder="1" applyAlignment="1">
      <alignment horizontal="right"/>
    </xf>
    <xf numFmtId="0" fontId="1" fillId="6" borderId="5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right"/>
    </xf>
    <xf numFmtId="3" fontId="1" fillId="6" borderId="3" xfId="0" applyNumberFormat="1" applyFont="1" applyFill="1" applyBorder="1" applyAlignment="1">
      <alignment horizontal="right"/>
    </xf>
    <xf numFmtId="3" fontId="1" fillId="6" borderId="6" xfId="0" applyNumberFormat="1" applyFont="1" applyFill="1" applyBorder="1" applyAlignment="1">
      <alignment horizontal="right"/>
    </xf>
    <xf numFmtId="3" fontId="1" fillId="4" borderId="0" xfId="0" applyNumberFormat="1" applyFont="1" applyFill="1" applyAlignment="1">
      <alignment horizontal="right"/>
    </xf>
    <xf numFmtId="10" fontId="4" fillId="0" borderId="1" xfId="0" applyNumberFormat="1" applyFont="1" applyBorder="1"/>
    <xf numFmtId="3" fontId="1" fillId="6" borderId="2" xfId="0" applyNumberFormat="1" applyFont="1" applyFill="1" applyBorder="1" applyAlignment="1">
      <alignment horizontal="right"/>
    </xf>
    <xf numFmtId="3" fontId="1" fillId="6" borderId="5" xfId="0" applyNumberFormat="1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3" fontId="1" fillId="6" borderId="4" xfId="0" applyNumberFormat="1" applyFont="1" applyFill="1" applyBorder="1" applyAlignment="1">
      <alignment horizontal="right"/>
    </xf>
    <xf numFmtId="3" fontId="1" fillId="6" borderId="7" xfId="0" applyNumberFormat="1" applyFont="1" applyFill="1" applyBorder="1" applyAlignment="1">
      <alignment horizontal="right"/>
    </xf>
    <xf numFmtId="10" fontId="5" fillId="0" borderId="1" xfId="0" applyNumberFormat="1" applyFont="1" applyBorder="1"/>
    <xf numFmtId="0" fontId="2" fillId="6" borderId="2" xfId="0" applyFont="1" applyFill="1" applyBorder="1" applyAlignment="1"/>
    <xf numFmtId="0" fontId="1" fillId="7" borderId="1" xfId="0" applyFont="1" applyFill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0" fontId="6" fillId="7" borderId="1" xfId="0" applyFont="1" applyFill="1" applyBorder="1" applyAlignment="1">
      <alignment horizontal="right"/>
    </xf>
    <xf numFmtId="3" fontId="6" fillId="7" borderId="1" xfId="0" applyNumberFormat="1" applyFont="1" applyFill="1" applyBorder="1" applyAlignment="1">
      <alignment horizontal="right"/>
    </xf>
    <xf numFmtId="9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3" fontId="1" fillId="7" borderId="1" xfId="0" applyNumberFormat="1" applyFont="1" applyFill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8" fillId="8" borderId="0" xfId="0" applyNumberFormat="1" applyFont="1" applyFill="1" applyAlignment="1">
      <alignment horizontal="center"/>
    </xf>
    <xf numFmtId="3" fontId="2" fillId="8" borderId="0" xfId="0" applyNumberFormat="1" applyFont="1" applyFill="1" applyAlignment="1"/>
    <xf numFmtId="9" fontId="2" fillId="8" borderId="0" xfId="0" applyNumberFormat="1" applyFont="1" applyFill="1" applyAlignment="1"/>
    <xf numFmtId="166" fontId="2" fillId="8" borderId="0" xfId="0" applyNumberFormat="1" applyFont="1" applyFill="1" applyAlignment="1"/>
    <xf numFmtId="4" fontId="2" fillId="8" borderId="0" xfId="0" applyNumberFormat="1" applyFont="1" applyFill="1" applyAlignment="1"/>
    <xf numFmtId="3" fontId="6" fillId="9" borderId="1" xfId="0" applyNumberFormat="1" applyFont="1" applyFill="1" applyBorder="1" applyAlignment="1">
      <alignment horizontal="right" wrapText="1"/>
    </xf>
    <xf numFmtId="9" fontId="6" fillId="9" borderId="1" xfId="0" applyNumberFormat="1" applyFont="1" applyFill="1" applyBorder="1" applyAlignment="1">
      <alignment wrapText="1"/>
    </xf>
    <xf numFmtId="3" fontId="6" fillId="9" borderId="1" xfId="0" applyNumberFormat="1" applyFont="1" applyFill="1" applyBorder="1" applyAlignment="1">
      <alignment wrapText="1"/>
    </xf>
    <xf numFmtId="166" fontId="6" fillId="9" borderId="1" xfId="0" applyNumberFormat="1" applyFont="1" applyFill="1" applyBorder="1" applyAlignment="1">
      <alignment wrapText="1"/>
    </xf>
    <xf numFmtId="10" fontId="6" fillId="9" borderId="1" xfId="0" applyNumberFormat="1" applyFont="1" applyFill="1" applyBorder="1" applyAlignment="1">
      <alignment horizontal="right"/>
    </xf>
    <xf numFmtId="3" fontId="6" fillId="9" borderId="1" xfId="0" applyNumberFormat="1" applyFont="1" applyFill="1" applyBorder="1" applyAlignment="1">
      <alignment horizontal="right"/>
    </xf>
    <xf numFmtId="166" fontId="6" fillId="9" borderId="1" xfId="0" applyNumberFormat="1" applyFont="1" applyFill="1" applyBorder="1" applyAlignment="1">
      <alignment horizontal="right"/>
    </xf>
    <xf numFmtId="9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right"/>
    </xf>
    <xf numFmtId="3" fontId="1" fillId="8" borderId="0" xfId="0" applyNumberFormat="1" applyFont="1" applyFill="1" applyAlignment="1">
      <alignment horizontal="right" wrapText="1"/>
    </xf>
    <xf numFmtId="9" fontId="1" fillId="8" borderId="0" xfId="0" applyNumberFormat="1" applyFont="1" applyFill="1" applyAlignment="1">
      <alignment wrapText="1"/>
    </xf>
    <xf numFmtId="4" fontId="1" fillId="8" borderId="0" xfId="0" applyNumberFormat="1" applyFont="1" applyFill="1" applyAlignment="1">
      <alignment wrapText="1"/>
    </xf>
    <xf numFmtId="166" fontId="1" fillId="8" borderId="0" xfId="0" applyNumberFormat="1" applyFont="1" applyFill="1" applyAlignment="1">
      <alignment wrapText="1"/>
    </xf>
    <xf numFmtId="3" fontId="1" fillId="9" borderId="1" xfId="0" applyNumberFormat="1" applyFont="1" applyFill="1" applyBorder="1" applyAlignment="1">
      <alignment horizontal="right"/>
    </xf>
    <xf numFmtId="9" fontId="2" fillId="9" borderId="1" xfId="0" applyNumberFormat="1" applyFont="1" applyFill="1" applyBorder="1" applyAlignment="1">
      <alignment horizontal="right"/>
    </xf>
    <xf numFmtId="3" fontId="2" fillId="9" borderId="1" xfId="0" applyNumberFormat="1" applyFont="1" applyFill="1" applyBorder="1" applyAlignment="1">
      <alignment horizontal="right"/>
    </xf>
    <xf numFmtId="166" fontId="2" fillId="9" borderId="1" xfId="0" applyNumberFormat="1" applyFont="1" applyFill="1" applyBorder="1" applyAlignment="1">
      <alignment horizontal="right"/>
    </xf>
    <xf numFmtId="9" fontId="2" fillId="9" borderId="1" xfId="0" applyNumberFormat="1" applyFont="1" applyFill="1" applyBorder="1" applyAlignment="1"/>
    <xf numFmtId="3" fontId="2" fillId="9" borderId="1" xfId="0" applyNumberFormat="1" applyFont="1" applyFill="1" applyBorder="1" applyAlignment="1"/>
    <xf numFmtId="166" fontId="2" fillId="9" borderId="1" xfId="0" applyNumberFormat="1" applyFont="1" applyFill="1" applyBorder="1" applyAlignment="1"/>
    <xf numFmtId="3" fontId="1" fillId="8" borderId="0" xfId="0" applyNumberFormat="1" applyFont="1" applyFill="1" applyAlignment="1">
      <alignment horizontal="right"/>
    </xf>
    <xf numFmtId="9" fontId="1" fillId="8" borderId="0" xfId="0" applyNumberFormat="1" applyFont="1" applyFill="1" applyAlignment="1">
      <alignment horizontal="right"/>
    </xf>
    <xf numFmtId="4" fontId="1" fillId="8" borderId="0" xfId="0" applyNumberFormat="1" applyFont="1" applyFill="1" applyAlignment="1">
      <alignment horizontal="right"/>
    </xf>
    <xf numFmtId="166" fontId="1" fillId="8" borderId="0" xfId="0" applyNumberFormat="1" applyFont="1" applyFill="1" applyAlignment="1">
      <alignment horizontal="right"/>
    </xf>
    <xf numFmtId="3" fontId="7" fillId="9" borderId="1" xfId="0" applyNumberFormat="1" applyFont="1" applyFill="1" applyBorder="1" applyAlignment="1"/>
    <xf numFmtId="3" fontId="2" fillId="8" borderId="0" xfId="0" applyNumberFormat="1" applyFont="1" applyFill="1" applyAlignment="1">
      <alignment horizontal="right"/>
    </xf>
    <xf numFmtId="0" fontId="5" fillId="0" borderId="0" xfId="0" applyFont="1"/>
    <xf numFmtId="0" fontId="5" fillId="0" borderId="0" xfId="0" applyFont="1" applyAlignment="1"/>
    <xf numFmtId="3" fontId="6" fillId="4" borderId="0" xfId="0" applyNumberFormat="1" applyFont="1" applyFill="1" applyAlignment="1">
      <alignment wrapText="1"/>
    </xf>
    <xf numFmtId="4" fontId="2" fillId="9" borderId="1" xfId="0" applyNumberFormat="1" applyFont="1" applyFill="1" applyBorder="1" applyAlignment="1"/>
    <xf numFmtId="9" fontId="1" fillId="9" borderId="1" xfId="0" applyNumberFormat="1" applyFont="1" applyFill="1" applyBorder="1" applyAlignment="1">
      <alignment horizontal="right"/>
    </xf>
    <xf numFmtId="4" fontId="1" fillId="9" borderId="1" xfId="0" applyNumberFormat="1" applyFont="1" applyFill="1" applyBorder="1" applyAlignment="1">
      <alignment horizontal="right"/>
    </xf>
    <xf numFmtId="166" fontId="1" fillId="9" borderId="1" xfId="0" applyNumberFormat="1" applyFont="1" applyFill="1" applyBorder="1" applyAlignment="1">
      <alignment horizontal="right"/>
    </xf>
    <xf numFmtId="0" fontId="9" fillId="4" borderId="0" xfId="0" applyFont="1" applyFill="1" applyAlignment="1"/>
    <xf numFmtId="0" fontId="2" fillId="4" borderId="0" xfId="0" applyFont="1" applyFill="1" applyAlignment="1"/>
    <xf numFmtId="0" fontId="9" fillId="10" borderId="5" xfId="0" applyFont="1" applyFill="1" applyBorder="1" applyAlignment="1"/>
    <xf numFmtId="0" fontId="2" fillId="6" borderId="1" xfId="0" applyFont="1" applyFill="1" applyBorder="1" applyAlignment="1"/>
    <xf numFmtId="0" fontId="2" fillId="10" borderId="5" xfId="0" applyFont="1" applyFill="1" applyBorder="1" applyAlignment="1"/>
    <xf numFmtId="0" fontId="1" fillId="6" borderId="1" xfId="0" applyFont="1" applyFill="1" applyBorder="1" applyAlignment="1">
      <alignment horizontal="right"/>
    </xf>
    <xf numFmtId="0" fontId="1" fillId="10" borderId="5" xfId="0" applyFont="1" applyFill="1" applyBorder="1" applyAlignment="1">
      <alignment horizontal="right"/>
    </xf>
    <xf numFmtId="3" fontId="1" fillId="6" borderId="1" xfId="0" applyNumberFormat="1" applyFont="1" applyFill="1" applyBorder="1" applyAlignment="1">
      <alignment horizontal="right"/>
    </xf>
    <xf numFmtId="3" fontId="2" fillId="4" borderId="0" xfId="0" applyNumberFormat="1" applyFont="1" applyFill="1" applyAlignment="1"/>
    <xf numFmtId="3" fontId="2" fillId="6" borderId="1" xfId="0" applyNumberFormat="1" applyFont="1" applyFill="1" applyBorder="1" applyAlignment="1"/>
    <xf numFmtId="0" fontId="0" fillId="0" borderId="8" xfId="0" applyFont="1" applyBorder="1" applyAlignment="1"/>
    <xf numFmtId="0" fontId="0" fillId="0" borderId="8" xfId="0" pivotButton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10" fontId="0" fillId="0" borderId="8" xfId="0" applyNumberFormat="1" applyFont="1" applyBorder="1" applyAlignment="1"/>
    <xf numFmtId="10" fontId="0" fillId="0" borderId="10" xfId="0" applyNumberFormat="1" applyFont="1" applyBorder="1" applyAlignment="1"/>
    <xf numFmtId="0" fontId="0" fillId="0" borderId="11" xfId="0" applyFont="1" applyBorder="1" applyAlignment="1"/>
    <xf numFmtId="10" fontId="0" fillId="0" borderId="11" xfId="0" applyNumberFormat="1" applyFont="1" applyBorder="1" applyAlignment="1"/>
    <xf numFmtId="10" fontId="0" fillId="0" borderId="12" xfId="0" applyNumberFormat="1" applyFont="1" applyBorder="1" applyAlignment="1"/>
    <xf numFmtId="0" fontId="0" fillId="0" borderId="13" xfId="0" applyFont="1" applyBorder="1" applyAlignment="1"/>
    <xf numFmtId="10" fontId="0" fillId="0" borderId="13" xfId="0" applyNumberFormat="1" applyFont="1" applyBorder="1" applyAlignment="1"/>
    <xf numFmtId="10" fontId="0" fillId="0" borderId="14" xfId="0" applyNumberFormat="1" applyFont="1" applyBorder="1" applyAlignment="1"/>
    <xf numFmtId="0" fontId="0" fillId="0" borderId="15" xfId="0" applyFont="1" applyBorder="1" applyAlignment="1"/>
    <xf numFmtId="165" fontId="0" fillId="0" borderId="8" xfId="0" applyNumberFormat="1" applyFont="1" applyBorder="1" applyAlignment="1"/>
    <xf numFmtId="0" fontId="0" fillId="0" borderId="15" xfId="0" applyNumberFormat="1" applyFont="1" applyBorder="1" applyAlignment="1"/>
    <xf numFmtId="165" fontId="0" fillId="0" borderId="11" xfId="0" applyNumberFormat="1" applyFont="1" applyBorder="1" applyAlignment="1"/>
    <xf numFmtId="0" fontId="0" fillId="0" borderId="16" xfId="0" applyNumberFormat="1" applyFont="1" applyBorder="1" applyAlignment="1"/>
    <xf numFmtId="165" fontId="0" fillId="0" borderId="13" xfId="0" applyNumberFormat="1" applyFont="1" applyBorder="1" applyAlignment="1"/>
    <xf numFmtId="0" fontId="0" fillId="0" borderId="17" xfId="0" applyNumberFormat="1" applyFont="1" applyBorder="1" applyAlignment="1"/>
    <xf numFmtId="164" fontId="0" fillId="0" borderId="8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% Customers vs Grouped AOF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'Decile Analysis'!$S$15</c:f>
              <c:strCache>
                <c:ptCount val="1"/>
                <c:pt idx="0">
                  <c:v>SUM of % Customers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'Decile Analysis'!$R$16:$R$19</c:f>
              <c:strCache>
                <c:ptCount val="4"/>
                <c:pt idx="0">
                  <c:v>1,5-2</c:v>
                </c:pt>
                <c:pt idx="1">
                  <c:v>1-1,5</c:v>
                </c:pt>
                <c:pt idx="2">
                  <c:v>2,5-3</c:v>
                </c:pt>
                <c:pt idx="3">
                  <c:v>5,5-6</c:v>
                </c:pt>
              </c:strCache>
            </c:strRef>
          </c:cat>
          <c:val>
            <c:numRef>
              <c:f>'Decile Analysis'!$S$16:$S$19</c:f>
              <c:numCache>
                <c:formatCode>General</c:formatCode>
                <c:ptCount val="4"/>
                <c:pt idx="0">
                  <c:v>0.1998616221656131</c:v>
                </c:pt>
                <c:pt idx="1">
                  <c:v>0.60011950812969783</c:v>
                </c:pt>
                <c:pt idx="2">
                  <c:v>0.10000943485234456</c:v>
                </c:pt>
                <c:pt idx="3">
                  <c:v>0.10000943485234456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5B9-4500-B49F-2C0ABF38F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3339947"/>
        <c:axId val="1486950497"/>
      </c:barChart>
      <c:catAx>
        <c:axId val="1603339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Grouped 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486950497"/>
        <c:crosses val="autoZero"/>
        <c:auto val="1"/>
        <c:lblAlgn val="ctr"/>
        <c:lblOffset val="100"/>
        <c:noMultiLvlLbl val="1"/>
      </c:catAx>
      <c:valAx>
        <c:axId val="1486950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%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6033399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% Customers vs Grouped AOV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'Decile Analysis'!$V$15</c:f>
              <c:strCache>
                <c:ptCount val="1"/>
                <c:pt idx="0">
                  <c:v>SUM of % Customers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'Decile Analysis'!$U$16:$U$20</c:f>
              <c:strCache>
                <c:ptCount val="5"/>
                <c:pt idx="0">
                  <c:v>0-1500</c:v>
                </c:pt>
                <c:pt idx="1">
                  <c:v>1500-3000</c:v>
                </c:pt>
                <c:pt idx="2">
                  <c:v>3000-4500</c:v>
                </c:pt>
                <c:pt idx="3">
                  <c:v>4500-6000</c:v>
                </c:pt>
                <c:pt idx="4">
                  <c:v>6000-7500</c:v>
                </c:pt>
              </c:strCache>
            </c:strRef>
          </c:cat>
          <c:val>
            <c:numRef>
              <c:f>'Decile Analysis'!$V$16:$V$20</c:f>
              <c:numCache>
                <c:formatCode>General</c:formatCode>
                <c:ptCount val="5"/>
                <c:pt idx="0">
                  <c:v>0.10019813189923578</c:v>
                </c:pt>
                <c:pt idx="1">
                  <c:v>0.19989307167342832</c:v>
                </c:pt>
                <c:pt idx="2">
                  <c:v>0.19992452118124351</c:v>
                </c:pt>
                <c:pt idx="3">
                  <c:v>0.20005031921250432</c:v>
                </c:pt>
                <c:pt idx="4">
                  <c:v>0.29993395603358808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23-4248-8C58-199773BE9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492701"/>
        <c:axId val="2147391849"/>
      </c:barChart>
      <c:catAx>
        <c:axId val="365492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Grouped 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147391849"/>
        <c:crosses val="autoZero"/>
        <c:auto val="1"/>
        <c:lblAlgn val="ctr"/>
        <c:lblOffset val="100"/>
        <c:noMultiLvlLbl val="1"/>
      </c:catAx>
      <c:valAx>
        <c:axId val="2147391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%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3654927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Revenue vs. Decile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'Decile Analysis'!$E$1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B8A-40A2-8231-F989E24DB46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B8A-40A2-8231-F989E24DB46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B8A-40A2-8231-F989E24DB46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B8A-40A2-8231-F989E24DB46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1B8A-40A2-8231-F989E24DB46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1B8A-40A2-8231-F989E24DB46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1B8A-40A2-8231-F989E24DB463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1B8A-40A2-8231-F989E24DB463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1B8A-40A2-8231-F989E24DB463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1B8A-40A2-8231-F989E24DB463}"/>
              </c:ext>
            </c:extLst>
          </c:dPt>
          <c:cat>
            <c:numRef>
              <c:f>'Decile Analysis'!$A$2:$A$11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'Decile Analysis'!$E$2:$E$11</c:f>
              <c:numCache>
                <c:formatCode>#,##0</c:formatCode>
                <c:ptCount val="10"/>
                <c:pt idx="0">
                  <c:v>62160175</c:v>
                </c:pt>
                <c:pt idx="1">
                  <c:v>27079030</c:v>
                </c:pt>
                <c:pt idx="2">
                  <c:v>18722055</c:v>
                </c:pt>
                <c:pt idx="3">
                  <c:v>13916595</c:v>
                </c:pt>
                <c:pt idx="4">
                  <c:v>10734405</c:v>
                </c:pt>
                <c:pt idx="5">
                  <c:v>7948270</c:v>
                </c:pt>
                <c:pt idx="6">
                  <c:v>6240025</c:v>
                </c:pt>
                <c:pt idx="7">
                  <c:v>4326685</c:v>
                </c:pt>
                <c:pt idx="8">
                  <c:v>3334100</c:v>
                </c:pt>
                <c:pt idx="9">
                  <c:v>1554795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B8A-40A2-8231-F989E24DB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 vs. Qarter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'Cohort Analysis'!$B$1</c:f>
              <c:strCache>
                <c:ptCount val="1"/>
                <c:pt idx="0">
                  <c:v># Customers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Analysis'!$B$2:$B$18</c:f>
              <c:numCache>
                <c:formatCode>#,##0</c:formatCode>
                <c:ptCount val="17"/>
                <c:pt idx="0">
                  <c:v>2943</c:v>
                </c:pt>
                <c:pt idx="1">
                  <c:v>346</c:v>
                </c:pt>
                <c:pt idx="2">
                  <c:v>313</c:v>
                </c:pt>
                <c:pt idx="3">
                  <c:v>485</c:v>
                </c:pt>
                <c:pt idx="4">
                  <c:v>296</c:v>
                </c:pt>
                <c:pt idx="5">
                  <c:v>286</c:v>
                </c:pt>
                <c:pt idx="6">
                  <c:v>245</c:v>
                </c:pt>
                <c:pt idx="7">
                  <c:v>420</c:v>
                </c:pt>
                <c:pt idx="8">
                  <c:v>312</c:v>
                </c:pt>
                <c:pt idx="9">
                  <c:v>281</c:v>
                </c:pt>
                <c:pt idx="10">
                  <c:v>220</c:v>
                </c:pt>
                <c:pt idx="11">
                  <c:v>358</c:v>
                </c:pt>
                <c:pt idx="12">
                  <c:v>244</c:v>
                </c:pt>
                <c:pt idx="13">
                  <c:v>236</c:v>
                </c:pt>
                <c:pt idx="14">
                  <c:v>201</c:v>
                </c:pt>
                <c:pt idx="15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5-4C86-B02A-AF7F22C1B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30530"/>
        <c:axId val="755026921"/>
      </c:areaChart>
      <c:catAx>
        <c:axId val="148930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755026921"/>
        <c:crosses val="autoZero"/>
        <c:auto val="1"/>
        <c:lblAlgn val="ctr"/>
        <c:lblOffset val="100"/>
        <c:noMultiLvlLbl val="1"/>
      </c:catAx>
      <c:valAx>
        <c:axId val="755026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4893053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'Cohort Analysis'!$D$1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Analysis'!$D$2:$D$17</c:f>
              <c:numCache>
                <c:formatCode>#,##0</c:formatCode>
                <c:ptCount val="16"/>
                <c:pt idx="0">
                  <c:v>21803980</c:v>
                </c:pt>
                <c:pt idx="1">
                  <c:v>2765015</c:v>
                </c:pt>
                <c:pt idx="2">
                  <c:v>2352130</c:v>
                </c:pt>
                <c:pt idx="3">
                  <c:v>4692930</c:v>
                </c:pt>
                <c:pt idx="4">
                  <c:v>2411530</c:v>
                </c:pt>
                <c:pt idx="5">
                  <c:v>2186470</c:v>
                </c:pt>
                <c:pt idx="6">
                  <c:v>2040280</c:v>
                </c:pt>
                <c:pt idx="7">
                  <c:v>4619175</c:v>
                </c:pt>
                <c:pt idx="8">
                  <c:v>2391565</c:v>
                </c:pt>
                <c:pt idx="9">
                  <c:v>2061895</c:v>
                </c:pt>
                <c:pt idx="10">
                  <c:v>1826220</c:v>
                </c:pt>
                <c:pt idx="11">
                  <c:v>3652880</c:v>
                </c:pt>
                <c:pt idx="12">
                  <c:v>1945185</c:v>
                </c:pt>
                <c:pt idx="13">
                  <c:v>1882925</c:v>
                </c:pt>
                <c:pt idx="14">
                  <c:v>1504580</c:v>
                </c:pt>
                <c:pt idx="15">
                  <c:v>3447070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DA-447B-9490-D467292EE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8098"/>
        <c:axId val="335016445"/>
      </c:barChart>
      <c:catAx>
        <c:axId val="412988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335016445"/>
        <c:crosses val="autoZero"/>
        <c:auto val="1"/>
        <c:lblAlgn val="ctr"/>
        <c:lblOffset val="100"/>
        <c:noMultiLvlLbl val="1"/>
      </c:catAx>
      <c:valAx>
        <c:axId val="335016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4129880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vs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'Cohort Analysis'!$H$1</c:f>
              <c:strCache>
                <c:ptCount val="1"/>
                <c:pt idx="0">
                  <c:v>AOF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Analysis'!$H$2:$H$17</c:f>
              <c:numCache>
                <c:formatCode>0.0</c:formatCode>
                <c:ptCount val="16"/>
                <c:pt idx="0">
                  <c:v>1.2514441046551139</c:v>
                </c:pt>
                <c:pt idx="1">
                  <c:v>1.4826589595375723</c:v>
                </c:pt>
                <c:pt idx="2">
                  <c:v>1.4408945686900958</c:v>
                </c:pt>
                <c:pt idx="3">
                  <c:v>1.688659793814433</c:v>
                </c:pt>
                <c:pt idx="4">
                  <c:v>1.4695945945945945</c:v>
                </c:pt>
                <c:pt idx="5">
                  <c:v>1.583916083916084</c:v>
                </c:pt>
                <c:pt idx="6">
                  <c:v>1.616326530612245</c:v>
                </c:pt>
                <c:pt idx="7">
                  <c:v>1.9238095238095239</c:v>
                </c:pt>
                <c:pt idx="8">
                  <c:v>1.5416666666666667</c:v>
                </c:pt>
                <c:pt idx="9">
                  <c:v>1.6441281138790036</c:v>
                </c:pt>
                <c:pt idx="10">
                  <c:v>1.7454545454545454</c:v>
                </c:pt>
                <c:pt idx="11">
                  <c:v>2.016759776536313</c:v>
                </c:pt>
                <c:pt idx="12">
                  <c:v>1.6270491803278688</c:v>
                </c:pt>
                <c:pt idx="13">
                  <c:v>1.652542372881356</c:v>
                </c:pt>
                <c:pt idx="14">
                  <c:v>1.6815920398009949</c:v>
                </c:pt>
                <c:pt idx="15">
                  <c:v>1.8611898016997168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374-4103-B409-37213765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152607"/>
        <c:axId val="1347655342"/>
      </c:barChart>
      <c:catAx>
        <c:axId val="96015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347655342"/>
        <c:crosses val="autoZero"/>
        <c:auto val="1"/>
        <c:lblAlgn val="ctr"/>
        <c:lblOffset val="100"/>
        <c:noMultiLvlLbl val="1"/>
      </c:catAx>
      <c:valAx>
        <c:axId val="1347655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9601526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Avr spend/active customer vs.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'Cohort Analysis'!$G$1</c:f>
              <c:strCache>
                <c:ptCount val="1"/>
                <c:pt idx="0">
                  <c:v>Avg spend/active customer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Analysis'!$G$2:$G$17</c:f>
              <c:numCache>
                <c:formatCode>0</c:formatCode>
                <c:ptCount val="16"/>
                <c:pt idx="0">
                  <c:v>7408.759768943255</c:v>
                </c:pt>
                <c:pt idx="1">
                  <c:v>7991.3728323699424</c:v>
                </c:pt>
                <c:pt idx="2">
                  <c:v>7514.792332268371</c:v>
                </c:pt>
                <c:pt idx="3">
                  <c:v>9676.1443298969079</c:v>
                </c:pt>
                <c:pt idx="4">
                  <c:v>8147.0608108108108</c:v>
                </c:pt>
                <c:pt idx="5">
                  <c:v>7645</c:v>
                </c:pt>
                <c:pt idx="6">
                  <c:v>8327.6734693877552</c:v>
                </c:pt>
                <c:pt idx="7">
                  <c:v>10998.035714285714</c:v>
                </c:pt>
                <c:pt idx="8">
                  <c:v>7665.2724358974356</c:v>
                </c:pt>
                <c:pt idx="9">
                  <c:v>7337.7046263345192</c:v>
                </c:pt>
                <c:pt idx="10">
                  <c:v>8301</c:v>
                </c:pt>
                <c:pt idx="11">
                  <c:v>10203.575418994413</c:v>
                </c:pt>
                <c:pt idx="12">
                  <c:v>7972.0696721311479</c:v>
                </c:pt>
                <c:pt idx="13">
                  <c:v>7978.4957627118647</c:v>
                </c:pt>
                <c:pt idx="14">
                  <c:v>7485.4726368159209</c:v>
                </c:pt>
                <c:pt idx="15">
                  <c:v>9765.0708215297454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F70-46AB-A50F-11A537A51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351710"/>
        <c:axId val="1986768337"/>
      </c:barChart>
      <c:catAx>
        <c:axId val="391351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986768337"/>
        <c:crosses val="autoZero"/>
        <c:auto val="1"/>
        <c:lblAlgn val="ctr"/>
        <c:lblOffset val="100"/>
        <c:noMultiLvlLbl val="1"/>
      </c:catAx>
      <c:valAx>
        <c:axId val="1986768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3913517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'Cohort Analysis'!$I$1</c:f>
              <c:strCache>
                <c:ptCount val="1"/>
                <c:pt idx="0">
                  <c:v>AOV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Analysis'!$I$2:$I$17</c:f>
              <c:numCache>
                <c:formatCode>0</c:formatCode>
                <c:ptCount val="16"/>
                <c:pt idx="0">
                  <c:v>5920.1683410263377</c:v>
                </c:pt>
                <c:pt idx="1">
                  <c:v>5389.8927875243662</c:v>
                </c:pt>
                <c:pt idx="2">
                  <c:v>5215.3658536585363</c:v>
                </c:pt>
                <c:pt idx="3">
                  <c:v>5730.0732600732599</c:v>
                </c:pt>
                <c:pt idx="4">
                  <c:v>5543.7471264367814</c:v>
                </c:pt>
                <c:pt idx="5">
                  <c:v>4826.644591611479</c:v>
                </c:pt>
                <c:pt idx="6">
                  <c:v>5152.2222222222226</c:v>
                </c:pt>
                <c:pt idx="7">
                  <c:v>5716.8007425742571</c:v>
                </c:pt>
                <c:pt idx="8">
                  <c:v>4972.068607068607</c:v>
                </c:pt>
                <c:pt idx="9">
                  <c:v>4462.9761904761908</c:v>
                </c:pt>
                <c:pt idx="10">
                  <c:v>4755.78125</c:v>
                </c:pt>
                <c:pt idx="11">
                  <c:v>5059.3905817174518</c:v>
                </c:pt>
                <c:pt idx="12">
                  <c:v>4899.7103274559195</c:v>
                </c:pt>
                <c:pt idx="13">
                  <c:v>4828.0128205128203</c:v>
                </c:pt>
                <c:pt idx="14">
                  <c:v>4451.4201183431951</c:v>
                </c:pt>
                <c:pt idx="15">
                  <c:v>5246.681887366819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12-4B3E-A8B9-CE3BB3A82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8924103"/>
        <c:axId val="945466743"/>
      </c:barChart>
      <c:catAx>
        <c:axId val="1828924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945466743"/>
        <c:crosses val="autoZero"/>
        <c:auto val="1"/>
        <c:lblAlgn val="ctr"/>
        <c:lblOffset val="100"/>
        <c:noMultiLvlLbl val="1"/>
      </c:catAx>
      <c:valAx>
        <c:axId val="945466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8289241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vs. Quarter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'Cohort Analysis'!$E$1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Analysis'!$E$2:$E$17</c:f>
              <c:numCache>
                <c:formatCode>#,##0</c:formatCode>
                <c:ptCount val="16"/>
                <c:pt idx="0">
                  <c:v>10398135</c:v>
                </c:pt>
                <c:pt idx="1">
                  <c:v>1386330</c:v>
                </c:pt>
                <c:pt idx="2">
                  <c:v>1173700</c:v>
                </c:pt>
                <c:pt idx="3">
                  <c:v>2335300</c:v>
                </c:pt>
                <c:pt idx="4">
                  <c:v>1161600</c:v>
                </c:pt>
                <c:pt idx="5">
                  <c:v>1074425</c:v>
                </c:pt>
                <c:pt idx="6">
                  <c:v>988295</c:v>
                </c:pt>
                <c:pt idx="7">
                  <c:v>2215950</c:v>
                </c:pt>
                <c:pt idx="8">
                  <c:v>1101815</c:v>
                </c:pt>
                <c:pt idx="9">
                  <c:v>960080</c:v>
                </c:pt>
                <c:pt idx="10">
                  <c:v>838310</c:v>
                </c:pt>
                <c:pt idx="11">
                  <c:v>1726835</c:v>
                </c:pt>
                <c:pt idx="12">
                  <c:v>908215</c:v>
                </c:pt>
                <c:pt idx="13">
                  <c:v>884840</c:v>
                </c:pt>
                <c:pt idx="14">
                  <c:v>703560</c:v>
                </c:pt>
                <c:pt idx="15">
                  <c:v>1627065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3B5-47F0-828D-C9849D1F4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8023255"/>
        <c:axId val="2030332367"/>
      </c:barChart>
      <c:catAx>
        <c:axId val="728023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030332367"/>
        <c:crosses val="autoZero"/>
        <c:auto val="1"/>
        <c:lblAlgn val="ctr"/>
        <c:lblOffset val="100"/>
        <c:noMultiLvlLbl val="1"/>
      </c:catAx>
      <c:valAx>
        <c:axId val="2030332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7280232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 vs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'Cohort Analysis'!$C$1</c:f>
              <c:strCache>
                <c:ptCount val="1"/>
                <c:pt idx="0">
                  <c:v>Total Transactions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Analysis'!$C$2:$C$17</c:f>
              <c:numCache>
                <c:formatCode>#,##0</c:formatCode>
                <c:ptCount val="16"/>
                <c:pt idx="0">
                  <c:v>3683</c:v>
                </c:pt>
                <c:pt idx="1">
                  <c:v>513</c:v>
                </c:pt>
                <c:pt idx="2">
                  <c:v>451</c:v>
                </c:pt>
                <c:pt idx="3">
                  <c:v>819</c:v>
                </c:pt>
                <c:pt idx="4">
                  <c:v>435</c:v>
                </c:pt>
                <c:pt idx="5">
                  <c:v>453</c:v>
                </c:pt>
                <c:pt idx="6">
                  <c:v>396</c:v>
                </c:pt>
                <c:pt idx="7">
                  <c:v>808</c:v>
                </c:pt>
                <c:pt idx="8">
                  <c:v>481</c:v>
                </c:pt>
                <c:pt idx="9">
                  <c:v>462</c:v>
                </c:pt>
                <c:pt idx="10">
                  <c:v>384</c:v>
                </c:pt>
                <c:pt idx="11">
                  <c:v>722</c:v>
                </c:pt>
                <c:pt idx="12">
                  <c:v>397</c:v>
                </c:pt>
                <c:pt idx="13">
                  <c:v>390</c:v>
                </c:pt>
                <c:pt idx="14">
                  <c:v>338</c:v>
                </c:pt>
                <c:pt idx="15">
                  <c:v>657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CA-4B87-A7D6-19D8253F0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4473977"/>
        <c:axId val="57922006"/>
      </c:barChart>
      <c:catAx>
        <c:axId val="2004473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57922006"/>
        <c:crosses val="autoZero"/>
        <c:auto val="1"/>
        <c:lblAlgn val="ctr"/>
        <c:lblOffset val="100"/>
        <c:noMultiLvlLbl val="1"/>
      </c:catAx>
      <c:valAx>
        <c:axId val="57922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0044739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active vs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'Cohort Analysis'!$F$1</c:f>
              <c:strCache>
                <c:ptCount val="1"/>
                <c:pt idx="0">
                  <c:v>% active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Analysis'!$F$2:$F$17</c:f>
              <c:numCache>
                <c:formatCode>0%</c:formatCode>
                <c:ptCount val="16"/>
                <c:pt idx="0">
                  <c:v>1</c:v>
                </c:pt>
                <c:pt idx="1">
                  <c:v>0.11756710839279647</c:v>
                </c:pt>
                <c:pt idx="2">
                  <c:v>0.10635406048250085</c:v>
                </c:pt>
                <c:pt idx="3">
                  <c:v>0.16479782534828408</c:v>
                </c:pt>
                <c:pt idx="4">
                  <c:v>0.10057764186204553</c:v>
                </c:pt>
                <c:pt idx="5">
                  <c:v>9.717974855589534E-2</c:v>
                </c:pt>
                <c:pt idx="6">
                  <c:v>8.3248386000679575E-2</c:v>
                </c:pt>
                <c:pt idx="7">
                  <c:v>0.14271151885830785</c:v>
                </c:pt>
                <c:pt idx="8">
                  <c:v>0.10601427115188583</c:v>
                </c:pt>
                <c:pt idx="9">
                  <c:v>9.5480801902820253E-2</c:v>
                </c:pt>
                <c:pt idx="10">
                  <c:v>7.4753652735304113E-2</c:v>
                </c:pt>
                <c:pt idx="11">
                  <c:v>0.1216445803601767</c:v>
                </c:pt>
                <c:pt idx="12">
                  <c:v>8.290859667006456E-2</c:v>
                </c:pt>
                <c:pt idx="13">
                  <c:v>8.0190282025144416E-2</c:v>
                </c:pt>
                <c:pt idx="14">
                  <c:v>6.8297655453618752E-2</c:v>
                </c:pt>
                <c:pt idx="15">
                  <c:v>0.1199456337071016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D39-4C5B-B431-41F579C2B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0329898"/>
        <c:axId val="1399040190"/>
      </c:barChart>
      <c:catAx>
        <c:axId val="1300329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399040190"/>
        <c:crosses val="autoZero"/>
        <c:auto val="1"/>
        <c:lblAlgn val="ctr"/>
        <c:lblOffset val="100"/>
        <c:noMultiLvlLbl val="1"/>
      </c:catAx>
      <c:valAx>
        <c:axId val="1399040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3003298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2021, Q4 2022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'Cohort Analysis 3'!$L$4</c:f>
              <c:strCache>
                <c:ptCount val="1"/>
                <c:pt idx="0">
                  <c:v>Q3 2021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3'!$L$5:$L$18</c:f>
              <c:numCache>
                <c:formatCode>0%</c:formatCode>
                <c:ptCount val="14"/>
                <c:pt idx="0">
                  <c:v>1</c:v>
                </c:pt>
                <c:pt idx="1">
                  <c:v>0.18613652357494723</c:v>
                </c:pt>
                <c:pt idx="2">
                  <c:v>8.3391977480647431E-2</c:v>
                </c:pt>
                <c:pt idx="3">
                  <c:v>0.11189303307529909</c:v>
                </c:pt>
                <c:pt idx="4">
                  <c:v>0.11154116819141449</c:v>
                </c:pt>
                <c:pt idx="5">
                  <c:v>0.12878254750175933</c:v>
                </c:pt>
                <c:pt idx="6">
                  <c:v>8.2336382828993665E-2</c:v>
                </c:pt>
                <c:pt idx="7">
                  <c:v>8.9373680506685427E-2</c:v>
                </c:pt>
                <c:pt idx="8">
                  <c:v>9.4651653764954255E-2</c:v>
                </c:pt>
                <c:pt idx="9">
                  <c:v>0.12596762843068263</c:v>
                </c:pt>
                <c:pt idx="10">
                  <c:v>7.7410274454609435E-2</c:v>
                </c:pt>
                <c:pt idx="11">
                  <c:v>7.8817733990147784E-2</c:v>
                </c:pt>
                <c:pt idx="12">
                  <c:v>8.0928923293455315E-2</c:v>
                </c:pt>
                <c:pt idx="13">
                  <c:v>0.10942997888810696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E6-4FDF-81FA-00B7A033EBC6}"/>
            </c:ext>
          </c:extLst>
        </c:ser>
        <c:ser>
          <c:idx val="1"/>
          <c:order val="1"/>
          <c:tx>
            <c:strRef>
              <c:f>'Cohort Analysis 3'!$M$4</c:f>
              <c:strCache>
                <c:ptCount val="1"/>
                <c:pt idx="0">
                  <c:v>Q4 2021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3'!$M$5:$M$18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8E6-4FDF-81FA-00B7A033EBC6}"/>
            </c:ext>
          </c:extLst>
        </c:ser>
        <c:ser>
          <c:idx val="2"/>
          <c:order val="2"/>
          <c:tx>
            <c:strRef>
              <c:f>'Cohort Analysis 3'!$N$4</c:f>
              <c:strCache>
                <c:ptCount val="1"/>
                <c:pt idx="0">
                  <c:v>Q4 2022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3'!$N$5:$N$18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8E6-4FDF-81FA-00B7A033E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629238"/>
        <c:axId val="2118025218"/>
      </c:lineChart>
      <c:catAx>
        <c:axId val="214629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118025218"/>
        <c:crosses val="autoZero"/>
        <c:auto val="1"/>
        <c:lblAlgn val="ctr"/>
        <c:lblOffset val="100"/>
        <c:noMultiLvlLbl val="1"/>
      </c:catAx>
      <c:valAx>
        <c:axId val="2118025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146292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'Cohort Analysis 3'!$O$4</c:f>
              <c:strCache>
                <c:ptCount val="1"/>
                <c:pt idx="0">
                  <c:v>Q3 2021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3'!$O$5:$O$18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4-428B-B7C0-32BB51F1C552}"/>
            </c:ext>
          </c:extLst>
        </c:ser>
        <c:ser>
          <c:idx val="1"/>
          <c:order val="1"/>
          <c:tx>
            <c:strRef>
              <c:f>'Cohort Analysis 3'!$P$4</c:f>
              <c:strCache>
                <c:ptCount val="1"/>
                <c:pt idx="0">
                  <c:v>Q4 2021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3'!$P$5:$P$18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24-428B-B7C0-32BB51F1C552}"/>
            </c:ext>
          </c:extLst>
        </c:ser>
        <c:ser>
          <c:idx val="2"/>
          <c:order val="2"/>
          <c:tx>
            <c:strRef>
              <c:f>'Cohort Analysis 3'!$Q$4</c:f>
              <c:strCache>
                <c:ptCount val="1"/>
                <c:pt idx="0">
                  <c:v>Q4 2022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3'!$Q$5:$Q$18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24-428B-B7C0-32BB51F1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123704"/>
        <c:axId val="1735710830"/>
      </c:lineChart>
      <c:catAx>
        <c:axId val="201512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735710830"/>
        <c:crosses val="autoZero"/>
        <c:auto val="1"/>
        <c:lblAlgn val="ctr"/>
        <c:lblOffset val="100"/>
        <c:noMultiLvlLbl val="1"/>
      </c:catAx>
      <c:valAx>
        <c:axId val="1735710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0151237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'Cohort Analysis 3'!$R$4</c:f>
              <c:strCache>
                <c:ptCount val="1"/>
                <c:pt idx="0">
                  <c:v>Q3 2021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3'!$R$5:$R$18</c:f>
              <c:numCache>
                <c:formatCode>#\ 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B-484E-A5A3-ECFBC6343136}"/>
            </c:ext>
          </c:extLst>
        </c:ser>
        <c:ser>
          <c:idx val="1"/>
          <c:order val="1"/>
          <c:tx>
            <c:strRef>
              <c:f>'Cohort Analysis 3'!$S$4</c:f>
              <c:strCache>
                <c:ptCount val="1"/>
                <c:pt idx="0">
                  <c:v>Q4 2021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3'!$S$5:$S$18</c:f>
              <c:numCache>
                <c:formatCode>#\ 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B-484E-A5A3-ECFBC6343136}"/>
            </c:ext>
          </c:extLst>
        </c:ser>
        <c:ser>
          <c:idx val="2"/>
          <c:order val="2"/>
          <c:tx>
            <c:strRef>
              <c:f>'Cohort Analysis 3'!$T$4</c:f>
              <c:strCache>
                <c:ptCount val="1"/>
                <c:pt idx="0">
                  <c:v>Q4 2022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3'!$T$5:$T$18</c:f>
              <c:numCache>
                <c:formatCode>#\ 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B-484E-A5A3-ECFBC6343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651372"/>
        <c:axId val="1916263221"/>
      </c:lineChart>
      <c:catAx>
        <c:axId val="1831651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916263221"/>
        <c:crosses val="autoZero"/>
        <c:auto val="1"/>
        <c:lblAlgn val="ctr"/>
        <c:lblOffset val="100"/>
        <c:noMultiLvlLbl val="1"/>
      </c:catAx>
      <c:valAx>
        <c:axId val="1916263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\ ##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8316513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'Cohort Analysis 3'!$U$4</c:f>
              <c:strCache>
                <c:ptCount val="1"/>
                <c:pt idx="0">
                  <c:v>Q3 2021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3'!$U$5:$U$18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1-4B19-B390-8505833BAF87}"/>
            </c:ext>
          </c:extLst>
        </c:ser>
        <c:ser>
          <c:idx val="1"/>
          <c:order val="1"/>
          <c:tx>
            <c:strRef>
              <c:f>'Cohort Analysis 3'!$V$4</c:f>
              <c:strCache>
                <c:ptCount val="1"/>
                <c:pt idx="0">
                  <c:v>Q4 2021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3'!$V$5:$V$18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1-4B19-B390-8505833BAF87}"/>
            </c:ext>
          </c:extLst>
        </c:ser>
        <c:ser>
          <c:idx val="2"/>
          <c:order val="2"/>
          <c:tx>
            <c:strRef>
              <c:f>'Cohort Analysis 3'!$W$4</c:f>
              <c:strCache>
                <c:ptCount val="1"/>
                <c:pt idx="0">
                  <c:v>Q4 2022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3'!$W$5:$W$18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31-4B19-B390-8505833BA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86453"/>
        <c:axId val="1808169648"/>
      </c:lineChart>
      <c:catAx>
        <c:axId val="469986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808169648"/>
        <c:crosses val="autoZero"/>
        <c:auto val="1"/>
        <c:lblAlgn val="ctr"/>
        <c:lblOffset val="100"/>
        <c:noMultiLvlLbl val="1"/>
      </c:catAx>
      <c:valAx>
        <c:axId val="1808169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4699864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o Quarters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'Cohort Analysis 3'!$E$4</c:f>
              <c:strCache>
                <c:ptCount val="1"/>
                <c:pt idx="0">
                  <c:v>Profit of Q32021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3'!$E$5:$E$18</c:f>
              <c:numCache>
                <c:formatCode>#,##0</c:formatCode>
                <c:ptCount val="14"/>
                <c:pt idx="0">
                  <c:v>9389215</c:v>
                </c:pt>
                <c:pt idx="1">
                  <c:v>2173325</c:v>
                </c:pt>
                <c:pt idx="2">
                  <c:v>942755</c:v>
                </c:pt>
                <c:pt idx="3">
                  <c:v>1154450</c:v>
                </c:pt>
                <c:pt idx="4">
                  <c:v>1063370</c:v>
                </c:pt>
                <c:pt idx="5">
                  <c:v>1435610</c:v>
                </c:pt>
                <c:pt idx="6">
                  <c:v>740795</c:v>
                </c:pt>
                <c:pt idx="7">
                  <c:v>868560</c:v>
                </c:pt>
                <c:pt idx="8">
                  <c:v>742940</c:v>
                </c:pt>
                <c:pt idx="9">
                  <c:v>1519155</c:v>
                </c:pt>
                <c:pt idx="10">
                  <c:v>766755</c:v>
                </c:pt>
                <c:pt idx="11">
                  <c:v>828905</c:v>
                </c:pt>
                <c:pt idx="12">
                  <c:v>692780</c:v>
                </c:pt>
                <c:pt idx="13">
                  <c:v>1293325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F-49EA-AA17-F574B60A3E85}"/>
            </c:ext>
          </c:extLst>
        </c:ser>
        <c:ser>
          <c:idx val="1"/>
          <c:order val="1"/>
          <c:tx>
            <c:strRef>
              <c:f>'Cohort Analysis 3'!$E$23</c:f>
              <c:strCache>
                <c:ptCount val="1"/>
                <c:pt idx="0">
                  <c:v>Profit of Q42021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3'!$E$24:$E$37</c:f>
              <c:numCache>
                <c:formatCode>#,##0</c:formatCode>
                <c:ptCount val="14"/>
                <c:pt idx="0">
                  <c:v>0</c:v>
                </c:pt>
                <c:pt idx="1">
                  <c:v>26164050</c:v>
                </c:pt>
                <c:pt idx="2">
                  <c:v>2596110</c:v>
                </c:pt>
                <c:pt idx="3">
                  <c:v>1990010</c:v>
                </c:pt>
                <c:pt idx="4">
                  <c:v>1742015</c:v>
                </c:pt>
                <c:pt idx="5">
                  <c:v>4264700</c:v>
                </c:pt>
                <c:pt idx="6">
                  <c:v>1596375</c:v>
                </c:pt>
                <c:pt idx="7">
                  <c:v>1614635</c:v>
                </c:pt>
                <c:pt idx="8">
                  <c:v>1640210</c:v>
                </c:pt>
                <c:pt idx="9">
                  <c:v>4095850</c:v>
                </c:pt>
                <c:pt idx="10">
                  <c:v>1651705</c:v>
                </c:pt>
                <c:pt idx="11">
                  <c:v>1650495</c:v>
                </c:pt>
                <c:pt idx="12">
                  <c:v>1158025</c:v>
                </c:pt>
                <c:pt idx="13">
                  <c:v>3669875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F-49EA-AA17-F574B60A3E85}"/>
            </c:ext>
          </c:extLst>
        </c:ser>
        <c:ser>
          <c:idx val="2"/>
          <c:order val="2"/>
          <c:tx>
            <c:strRef>
              <c:f>'Cohort Analysis 3'!$E$42</c:f>
              <c:strCache>
                <c:ptCount val="1"/>
                <c:pt idx="0">
                  <c:v>Profit of Q42022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3'!$K$5:$K$18</c:f>
              <c:strCache>
                <c:ptCount val="14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</c:strCache>
            </c:strRef>
          </c:cat>
          <c:val>
            <c:numRef>
              <c:f>'Cohort Analysis 3'!$E$43:$E$56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22577830</c:v>
                </c:pt>
                <c:pt idx="6">
                  <c:v>2540340</c:v>
                </c:pt>
                <c:pt idx="7">
                  <c:v>1677170</c:v>
                </c:pt>
                <c:pt idx="8">
                  <c:v>1371040</c:v>
                </c:pt>
                <c:pt idx="9">
                  <c:v>4306665</c:v>
                </c:pt>
                <c:pt idx="10">
                  <c:v>1509805</c:v>
                </c:pt>
                <c:pt idx="11">
                  <c:v>1241075</c:v>
                </c:pt>
                <c:pt idx="12">
                  <c:v>1074480</c:v>
                </c:pt>
                <c:pt idx="13">
                  <c:v>3469510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F-49EA-AA17-F574B60A3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274029"/>
        <c:axId val="253533631"/>
      </c:lineChart>
      <c:catAx>
        <c:axId val="641274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53533631"/>
        <c:crosses val="autoZero"/>
        <c:auto val="1"/>
        <c:lblAlgn val="ctr"/>
        <c:lblOffset val="100"/>
        <c:noMultiLvlLbl val="1"/>
      </c:catAx>
      <c:valAx>
        <c:axId val="253533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6412740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'Yearly summarize table'!$H$3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table'!$G$4:$G$8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table'!$H$4:$H$8</c:f>
              <c:numCache>
                <c:formatCode>#,##0</c:formatCode>
                <c:ptCount val="5"/>
                <c:pt idx="0">
                  <c:v>75539904</c:v>
                </c:pt>
                <c:pt idx="1">
                  <c:v>131869556.49999999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AC-460C-9C2A-51EB99975313}"/>
            </c:ext>
          </c:extLst>
        </c:ser>
        <c:ser>
          <c:idx val="1"/>
          <c:order val="1"/>
          <c:tx>
            <c:strRef>
              <c:f>'Yearly summarize table'!$I$3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table'!$G$4:$G$8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table'!$I$4:$I$8</c:f>
              <c:numCache>
                <c:formatCode>#,##0</c:formatCode>
                <c:ptCount val="5"/>
                <c:pt idx="0">
                  <c:v>61713305.500000007</c:v>
                </c:pt>
                <c:pt idx="1">
                  <c:v>52597105</c:v>
                </c:pt>
                <c:pt idx="2">
                  <c:v>106151952.5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AC-460C-9C2A-51EB99975313}"/>
            </c:ext>
          </c:extLst>
        </c:ser>
        <c:ser>
          <c:idx val="2"/>
          <c:order val="2"/>
          <c:tx>
            <c:strRef>
              <c:f>'Yearly summarize table'!$J$3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table'!$G$4:$G$8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table'!$J$4:$J$8</c:f>
              <c:numCache>
                <c:formatCode>#,##0</c:formatCode>
                <c:ptCount val="5"/>
                <c:pt idx="0">
                  <c:v>57535362.5</c:v>
                </c:pt>
                <c:pt idx="1">
                  <c:v>45025838</c:v>
                </c:pt>
                <c:pt idx="2">
                  <c:v>40414088</c:v>
                </c:pt>
                <c:pt idx="3">
                  <c:v>123174633.99999999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DAC-460C-9C2A-51EB99975313}"/>
            </c:ext>
          </c:extLst>
        </c:ser>
        <c:ser>
          <c:idx val="3"/>
          <c:order val="3"/>
          <c:tx>
            <c:strRef>
              <c:f>'Yearly summarize table'!$K$3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table'!$G$4:$G$8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table'!$K$4:$K$8</c:f>
              <c:numCache>
                <c:formatCode>#,##0</c:formatCode>
                <c:ptCount val="5"/>
                <c:pt idx="0">
                  <c:v>55477922.5</c:v>
                </c:pt>
                <c:pt idx="1">
                  <c:v>41006845</c:v>
                </c:pt>
                <c:pt idx="2">
                  <c:v>31974173</c:v>
                </c:pt>
                <c:pt idx="3">
                  <c:v>44414436</c:v>
                </c:pt>
                <c:pt idx="4">
                  <c:v>152727327.5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DAC-460C-9C2A-51EB99975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1961052"/>
        <c:axId val="428493881"/>
      </c:barChart>
      <c:catAx>
        <c:axId val="2819610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428493881"/>
        <c:crosses val="autoZero"/>
        <c:auto val="1"/>
        <c:lblAlgn val="ctr"/>
        <c:lblOffset val="100"/>
        <c:noMultiLvlLbl val="1"/>
      </c:catAx>
      <c:valAx>
        <c:axId val="4284938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8196105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#Customers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'Yearly summarize table'!$H$19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table'!$G$20:$G$24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table'!$H$20:$H$24</c:f>
              <c:numCache>
                <c:formatCode>#,##0</c:formatCode>
                <c:ptCount val="5"/>
                <c:pt idx="0">
                  <c:v>5751</c:v>
                </c:pt>
                <c:pt idx="1">
                  <c:v>14915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2CC-4EB5-B4D0-E3DEBCE49C93}"/>
            </c:ext>
          </c:extLst>
        </c:ser>
        <c:ser>
          <c:idx val="1"/>
          <c:order val="1"/>
          <c:tx>
            <c:strRef>
              <c:f>'Yearly summarize table'!$I$19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table'!$G$20:$G$24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table'!$I$20:$I$24</c:f>
              <c:numCache>
                <c:formatCode>#,##0</c:formatCode>
                <c:ptCount val="5"/>
                <c:pt idx="0">
                  <c:v>4636</c:v>
                </c:pt>
                <c:pt idx="1">
                  <c:v>4107</c:v>
                </c:pt>
                <c:pt idx="2">
                  <c:v>12720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2CC-4EB5-B4D0-E3DEBCE49C93}"/>
            </c:ext>
          </c:extLst>
        </c:ser>
        <c:ser>
          <c:idx val="2"/>
          <c:order val="2"/>
          <c:tx>
            <c:strRef>
              <c:f>'Yearly summarize table'!$J$19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table'!$G$20:$G$24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table'!$J$20:$J$24</c:f>
              <c:numCache>
                <c:formatCode>#,##0</c:formatCode>
                <c:ptCount val="5"/>
                <c:pt idx="0">
                  <c:v>4233</c:v>
                </c:pt>
                <c:pt idx="1">
                  <c:v>3491</c:v>
                </c:pt>
                <c:pt idx="2">
                  <c:v>3389</c:v>
                </c:pt>
                <c:pt idx="3">
                  <c:v>15166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2CC-4EB5-B4D0-E3DEBCE49C93}"/>
            </c:ext>
          </c:extLst>
        </c:ser>
        <c:ser>
          <c:idx val="3"/>
          <c:order val="3"/>
          <c:tx>
            <c:strRef>
              <c:f>'Yearly summarize table'!$K$19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table'!$G$20:$G$24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table'!$K$20:$K$24</c:f>
              <c:numCache>
                <c:formatCode>#,##0</c:formatCode>
                <c:ptCount val="5"/>
                <c:pt idx="0">
                  <c:v>3921</c:v>
                </c:pt>
                <c:pt idx="1">
                  <c:v>3075</c:v>
                </c:pt>
                <c:pt idx="2">
                  <c:v>2686</c:v>
                </c:pt>
                <c:pt idx="3">
                  <c:v>3799</c:v>
                </c:pt>
                <c:pt idx="4">
                  <c:v>18316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2CC-4EB5-B4D0-E3DEBCE49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5802086"/>
        <c:axId val="894795564"/>
      </c:barChart>
      <c:catAx>
        <c:axId val="19258020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894795564"/>
        <c:crosses val="autoZero"/>
        <c:auto val="1"/>
        <c:lblAlgn val="ctr"/>
        <c:lblOffset val="100"/>
        <c:noMultiLvlLbl val="1"/>
      </c:catAx>
      <c:valAx>
        <c:axId val="8947955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92580208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'Yearly summarize table'!$H$27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table'!$G$28:$G$32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table'!$H$28:$H$32</c:f>
              <c:numCache>
                <c:formatCode>#,##0</c:formatCode>
                <c:ptCount val="5"/>
                <c:pt idx="0">
                  <c:v>13739</c:v>
                </c:pt>
                <c:pt idx="1">
                  <c:v>22911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7E-499F-A242-E8877ED31A03}"/>
            </c:ext>
          </c:extLst>
        </c:ser>
        <c:ser>
          <c:idx val="1"/>
          <c:order val="1"/>
          <c:tx>
            <c:strRef>
              <c:f>'Yearly summarize table'!$I$27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table'!$G$28:$G$32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table'!$I$28:$I$32</c:f>
              <c:numCache>
                <c:formatCode>#,##0</c:formatCode>
                <c:ptCount val="5"/>
                <c:pt idx="0">
                  <c:v>11475</c:v>
                </c:pt>
                <c:pt idx="1">
                  <c:v>10035</c:v>
                </c:pt>
                <c:pt idx="2">
                  <c:v>18640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27E-499F-A242-E8877ED31A03}"/>
            </c:ext>
          </c:extLst>
        </c:ser>
        <c:ser>
          <c:idx val="2"/>
          <c:order val="2"/>
          <c:tx>
            <c:strRef>
              <c:f>'Yearly summarize table'!$J$27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table'!$G$28:$G$32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table'!$J$28:$J$32</c:f>
              <c:numCache>
                <c:formatCode>#,##0</c:formatCode>
                <c:ptCount val="5"/>
                <c:pt idx="0">
                  <c:v>11331</c:v>
                </c:pt>
                <c:pt idx="1">
                  <c:v>9346</c:v>
                </c:pt>
                <c:pt idx="2">
                  <c:v>7992</c:v>
                </c:pt>
                <c:pt idx="3">
                  <c:v>22735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27E-499F-A242-E8877ED31A03}"/>
            </c:ext>
          </c:extLst>
        </c:ser>
        <c:ser>
          <c:idx val="3"/>
          <c:order val="3"/>
          <c:tx>
            <c:strRef>
              <c:f>'Yearly summarize table'!$K$27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'Yearly summarize table'!$G$28:$G$32</c:f>
              <c:strCache>
                <c:ptCount val="5"/>
                <c:pt idx="0">
                  <c:v>Pre-2021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'Yearly summarize table'!$K$28:$K$32</c:f>
              <c:numCache>
                <c:formatCode>#,##0</c:formatCode>
                <c:ptCount val="5"/>
                <c:pt idx="0">
                  <c:v>10581</c:v>
                </c:pt>
                <c:pt idx="1">
                  <c:v>8197</c:v>
                </c:pt>
                <c:pt idx="2">
                  <c:v>6336</c:v>
                </c:pt>
                <c:pt idx="3">
                  <c:v>9002</c:v>
                </c:pt>
                <c:pt idx="4">
                  <c:v>27144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27E-499F-A242-E8877ED31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6562415"/>
        <c:axId val="1779557444"/>
      </c:barChart>
      <c:catAx>
        <c:axId val="7765624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1779557444"/>
        <c:crosses val="autoZero"/>
        <c:auto val="1"/>
        <c:lblAlgn val="ctr"/>
        <c:lblOffset val="100"/>
        <c:noMultiLvlLbl val="1"/>
      </c:catAx>
      <c:valAx>
        <c:axId val="17795574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77656241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6.xml"/><Relationship Id="rId5" Type="http://schemas.openxmlformats.org/officeDocument/2006/relationships/image" Target="../media/image2.png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781050</xdr:colOff>
      <xdr:row>28</xdr:row>
      <xdr:rowOff>123825</xdr:rowOff>
    </xdr:from>
    <xdr:ext cx="5410200" cy="3352800"/>
    <xdr:pic>
      <xdr:nvPicPr>
        <xdr:cNvPr id="1001737376" name="Chart1" title="Chart">
          <a:extLst>
            <a:ext uri="{FF2B5EF4-FFF2-40B4-BE49-F238E27FC236}">
              <a16:creationId xmlns:a16="http://schemas.microsoft.com/office/drawing/2014/main" id="{00000000-0008-0000-0000-0000A04CB53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542925</xdr:colOff>
      <xdr:row>22</xdr:row>
      <xdr:rowOff>219075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19</xdr:col>
      <xdr:colOff>904875</xdr:colOff>
      <xdr:row>22</xdr:row>
      <xdr:rowOff>219075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323850</xdr:colOff>
      <xdr:row>31</xdr:row>
      <xdr:rowOff>142875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542925</xdr:colOff>
      <xdr:row>0</xdr:row>
      <xdr:rowOff>190500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657225</xdr:colOff>
      <xdr:row>0</xdr:row>
      <xdr:rowOff>190500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714375</xdr:colOff>
      <xdr:row>16</xdr:row>
      <xdr:rowOff>180975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447675</xdr:colOff>
      <xdr:row>16</xdr:row>
      <xdr:rowOff>180975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16</xdr:col>
      <xdr:colOff>28575</xdr:colOff>
      <xdr:row>36</xdr:row>
      <xdr:rowOff>76200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9</xdr:col>
      <xdr:colOff>609600</xdr:colOff>
      <xdr:row>36</xdr:row>
      <xdr:rowOff>76200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409575</xdr:colOff>
      <xdr:row>18</xdr:row>
      <xdr:rowOff>142875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</xdr:col>
      <xdr:colOff>57150</xdr:colOff>
      <xdr:row>36</xdr:row>
      <xdr:rowOff>180975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914400</xdr:colOff>
      <xdr:row>19</xdr:row>
      <xdr:rowOff>133350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333375</xdr:colOff>
      <xdr:row>19</xdr:row>
      <xdr:rowOff>133350</xdr:rowOff>
    </xdr:from>
    <xdr:ext cx="5715000" cy="35337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914400</xdr:colOff>
      <xdr:row>38</xdr:row>
      <xdr:rowOff>85725</xdr:rowOff>
    </xdr:from>
    <xdr:ext cx="5715000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333375</xdr:colOff>
      <xdr:row>39</xdr:row>
      <xdr:rowOff>19050</xdr:rowOff>
    </xdr:from>
    <xdr:ext cx="5715000" cy="35337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676275</xdr:colOff>
      <xdr:row>56</xdr:row>
      <xdr:rowOff>142875</xdr:rowOff>
    </xdr:from>
    <xdr:ext cx="5715000" cy="3533775"/>
    <xdr:pic>
      <xdr:nvPicPr>
        <xdr:cNvPr id="1944962464" name="Chart17" title="Chart">
          <a:extLst>
            <a:ext uri="{FF2B5EF4-FFF2-40B4-BE49-F238E27FC236}">
              <a16:creationId xmlns:a16="http://schemas.microsoft.com/office/drawing/2014/main" id="{00000000-0008-0000-0200-0000A0C5ED7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600075</xdr:colOff>
      <xdr:row>57</xdr:row>
      <xdr:rowOff>38100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</xdr:row>
      <xdr:rowOff>200025</xdr:rowOff>
    </xdr:from>
    <xdr:ext cx="5648325" cy="35718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457200</xdr:colOff>
      <xdr:row>4</xdr:row>
      <xdr:rowOff>95250</xdr:rowOff>
    </xdr:from>
    <xdr:ext cx="5715000" cy="35337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133350</xdr:colOff>
      <xdr:row>22</xdr:row>
      <xdr:rowOff>9525</xdr:rowOff>
    </xdr:from>
    <xdr:ext cx="5715000" cy="3533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irill Lyubimov" refreshedDate="46092.48657025463" refreshedVersion="7" recordCount="11" xr:uid="{00000000-000A-0000-FFFF-FFFF02000000}">
  <cacheSource type="worksheet">
    <worksheetSource ref="B17:D28" sheet="Decile Analysis"/>
  </cacheSource>
  <cacheFields count="3">
    <cacheField name="Decile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Revenue" numFmtId="3">
      <sharedItems containsSemiMixedTypes="0" containsString="0" containsNumber="1" containsInteger="1" minValue="3740550" maxValue="325600660"/>
    </cacheField>
    <cacheField name="Profit" numFmtId="3">
      <sharedItems containsSemiMixedTypes="0" containsString="0" containsNumber="1" containsInteger="1" minValue="1554795" maxValue="156016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irill Lyubimov" refreshedDate="46092.486570486108" refreshedVersion="7" recordCount="10" xr:uid="{00000000-000A-0000-FFFF-FFFF01000000}">
  <cacheSource type="worksheet">
    <worksheetSource ref="Q1:V11" sheet="Decile Analysis"/>
  </cacheSource>
  <cacheFields count="6">
    <cacheField name="% Customers" numFmtId="9">
      <sharedItems containsSemiMixedTypes="0" containsString="0" containsNumber="1" minValue="9.4222725414347272E-2" maxValue="0.10567034625908105"/>
    </cacheField>
    <cacheField name="% Transactions" numFmtId="9">
      <sharedItems containsSemiMixedTypes="0" containsString="0" containsNumber="1" minValue="5.3379040156709107E-2" maxValue="0.28571661769507017"/>
    </cacheField>
    <cacheField name="% Revenue" numFmtId="9">
      <sharedItems containsSemiMixedTypes="0" containsString="0" containsNumber="1" minValue="1.1488152388880292E-2" maxValue="0.39604497423316032"/>
    </cacheField>
    <cacheField name="% Profit" numFmtId="9">
      <sharedItems containsSemiMixedTypes="0" containsString="0" containsNumber="1" minValue="9.9656038780860708E-3" maxValue="0.39842145172997651"/>
    </cacheField>
    <cacheField name="AOF" numFmtId="164">
      <sharedItems containsSemiMixedTypes="0" containsString="0" containsNumber="1" minValue="1.0263653483992468" maxValue="5.5040880503144658"/>
    </cacheField>
    <cacheField name="AOV" numFmtId="165">
      <sharedItems containsSemiMixedTypes="0" containsString="0" containsNumber="1" minValue="1143.8990825688074" maxValue="7367.4515797291897" count="10">
        <n v="7367.4515797291897"/>
        <n v="6382.0412501436285"/>
        <n v="6032.1867612293145"/>
        <n v="5424.7541596560104"/>
        <n v="4816.4050822122572"/>
        <n v="3965.3475750577368"/>
        <n v="3364.3131868131868"/>
        <n v="2747.8251318101934"/>
        <n v="2048.7838207160426"/>
        <n v="1143.8990825688074"/>
      </sharedItems>
      <fieldGroup base="5">
        <rangePr autoStart="0" autoEnd="0" startNum="0" endNum="8000" groupInterval="1500"/>
        <groupItems count="8">
          <s v="&lt;0"/>
          <s v="0-1500"/>
          <s v="1500-3000"/>
          <s v="3000-4500"/>
          <s v="4500-6000"/>
          <s v="6000-7500"/>
          <s v="7500-9000"/>
          <s v="&gt;9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irill Lyubimov" refreshedDate="46092.486570601854" refreshedVersion="7" recordCount="10" xr:uid="{00000000-000A-0000-FFFF-FFFF00000000}">
  <cacheSource type="worksheet">
    <worksheetSource ref="Q1:U11" sheet="Decile Analysis"/>
  </cacheSource>
  <cacheFields count="5">
    <cacheField name="% Customers" numFmtId="9">
      <sharedItems containsSemiMixedTypes="0" containsString="0" containsNumber="1" minValue="9.4222725414347272E-2" maxValue="0.10567034625908105"/>
    </cacheField>
    <cacheField name="% Transactions" numFmtId="9">
      <sharedItems containsSemiMixedTypes="0" containsString="0" containsNumber="1" minValue="5.3379040156709107E-2" maxValue="0.28571661769507017"/>
    </cacheField>
    <cacheField name="% Revenue" numFmtId="9">
      <sharedItems containsSemiMixedTypes="0" containsString="0" containsNumber="1" minValue="1.1488152388880292E-2" maxValue="0.39604497423316032"/>
    </cacheField>
    <cacheField name="% Profit" numFmtId="9">
      <sharedItems containsSemiMixedTypes="0" containsString="0" containsNumber="1" minValue="9.9656038780860708E-3" maxValue="0.39842145172997651"/>
    </cacheField>
    <cacheField name="AOF" numFmtId="164">
      <sharedItems containsSemiMixedTypes="0" containsString="0" containsNumber="1" minValue="1.0263653483992468" maxValue="5.5040880503144658" count="10">
        <n v="5.5040880503144658"/>
        <n v="2.7367924528301888"/>
        <n v="1.9971671388101984"/>
        <n v="1.6831340465701699"/>
        <n v="1.4712535344015081"/>
        <n v="1.3860435339308579"/>
        <n v="1.238478193628209"/>
        <n v="1.1395193591455273"/>
        <n v="1.0889880952380953"/>
        <n v="1.0263653483992468"/>
      </sharedItems>
      <fieldGroup base="4">
        <rangePr autoStart="0" autoEnd="0" startNum="0" endNum="6" groupInterval="0.5"/>
        <groupItems count="14">
          <s v="&lt;0"/>
          <s v="0-0,5"/>
          <s v="0,5-1"/>
          <s v="1-1,5"/>
          <s v="1,5-2"/>
          <s v="2-2,5"/>
          <s v="2,5-3"/>
          <s v="3-3,5"/>
          <s v="3,5-4"/>
          <s v="4-4,5"/>
          <s v="4,5-5"/>
          <s v="5-5,5"/>
          <s v="5,5-6"/>
          <s v="&gt;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128952505"/>
    <n v="62160175"/>
  </r>
  <r>
    <x v="1"/>
    <n v="55542905"/>
    <n v="27079030"/>
  </r>
  <r>
    <x v="2"/>
    <n v="38274225"/>
    <n v="18722055"/>
  </r>
  <r>
    <x v="3"/>
    <n v="29017010"/>
    <n v="13916595"/>
  </r>
  <r>
    <x v="4"/>
    <n v="22555225"/>
    <n v="10734405"/>
  </r>
  <r>
    <x v="5"/>
    <n v="17169955"/>
    <n v="7948270"/>
  </r>
  <r>
    <x v="6"/>
    <n v="13470710"/>
    <n v="6240025"/>
  </r>
  <r>
    <x v="7"/>
    <n v="9381075"/>
    <n v="4326685"/>
  </r>
  <r>
    <x v="8"/>
    <n v="7496500"/>
    <n v="3334100"/>
  </r>
  <r>
    <x v="9"/>
    <n v="3740550"/>
    <n v="1554795"/>
  </r>
  <r>
    <x v="10"/>
    <n v="325600660"/>
    <n v="1560161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0.10000943485234456"/>
    <n v="0.28571661769507017"/>
    <n v="0.39604497423316032"/>
    <n v="0.39842145172997651"/>
    <n v="5.5040880503144658"/>
    <x v="0"/>
  </r>
  <r>
    <n v="0.10000943485234456"/>
    <n v="0.14206660137120469"/>
    <n v="0.17058597178519233"/>
    <n v="0.17356557384273108"/>
    <n v="2.7367924528301888"/>
    <x v="1"/>
  </r>
  <r>
    <n v="9.991508632889895E-2"/>
    <n v="0.10357492654260529"/>
    <n v="0.11754959280487945"/>
    <n v="0.12000076145970415"/>
    <n v="1.9971671388101984"/>
    <x v="2"/>
  </r>
  <r>
    <n v="9.9946535836714159E-2"/>
    <n v="8.7316356513222337E-2"/>
    <n v="8.9118400435674788E-2"/>
    <n v="8.9199716426765732E-2"/>
    <n v="1.6831340465701699"/>
    <x v="3"/>
  </r>
  <r>
    <n v="0.10010378337579016"/>
    <n v="7.6444662095984328E-2"/>
    <n v="6.9272663636492635E-2"/>
    <n v="6.880317218472308E-2"/>
    <n v="1.4712535344015081"/>
    <x v="4"/>
  </r>
  <r>
    <n v="9.8248262414693213E-2"/>
    <n v="7.0682337577538362E-2"/>
    <n v="5.273317013546594E-2"/>
    <n v="5.0945179484160406E-2"/>
    <n v="1.3860435339308579"/>
    <x v="5"/>
  </r>
  <r>
    <n v="0.1016762587665503"/>
    <n v="6.5360757427358793E-2"/>
    <n v="4.1371875597549464E-2"/>
    <n v="3.999602348821165E-2"/>
    <n v="1.238478193628209"/>
    <x v="6"/>
  </r>
  <r>
    <n v="9.4222725414347272E-2"/>
    <n v="5.5729676787463274E-2"/>
    <n v="2.8811597003519589E-2"/>
    <n v="2.7732291919678694E-2"/>
    <n v="1.1395193591455273"/>
    <x v="7"/>
  </r>
  <r>
    <n v="0.10567034625908105"/>
    <n v="5.972902383284362E-2"/>
    <n v="2.3023601979185179E-2"/>
    <n v="2.1370225585962632E-2"/>
    <n v="1.0889880952380953"/>
    <x v="8"/>
  </r>
  <r>
    <n v="0.10019813189923578"/>
    <n v="5.3379040156709107E-2"/>
    <n v="1.1488152388880292E-2"/>
    <n v="9.9656038780860708E-3"/>
    <n v="1.0263653483992468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0.10000943485234456"/>
    <n v="0.28571661769507017"/>
    <n v="0.39604497423316032"/>
    <n v="0.39842145172997651"/>
    <x v="0"/>
  </r>
  <r>
    <n v="0.10000943485234456"/>
    <n v="0.14206660137120469"/>
    <n v="0.17058597178519233"/>
    <n v="0.17356557384273108"/>
    <x v="1"/>
  </r>
  <r>
    <n v="9.991508632889895E-2"/>
    <n v="0.10357492654260529"/>
    <n v="0.11754959280487945"/>
    <n v="0.12000076145970415"/>
    <x v="2"/>
  </r>
  <r>
    <n v="9.9946535836714159E-2"/>
    <n v="8.7316356513222337E-2"/>
    <n v="8.9118400435674788E-2"/>
    <n v="8.9199716426765732E-2"/>
    <x v="3"/>
  </r>
  <r>
    <n v="0.10010378337579016"/>
    <n v="7.6444662095984328E-2"/>
    <n v="6.9272663636492635E-2"/>
    <n v="6.880317218472308E-2"/>
    <x v="4"/>
  </r>
  <r>
    <n v="9.8248262414693213E-2"/>
    <n v="7.0682337577538362E-2"/>
    <n v="5.273317013546594E-2"/>
    <n v="5.0945179484160406E-2"/>
    <x v="5"/>
  </r>
  <r>
    <n v="0.1016762587665503"/>
    <n v="6.5360757427358793E-2"/>
    <n v="4.1371875597549464E-2"/>
    <n v="3.999602348821165E-2"/>
    <x v="6"/>
  </r>
  <r>
    <n v="9.4222725414347272E-2"/>
    <n v="5.5729676787463274E-2"/>
    <n v="2.8811597003519589E-2"/>
    <n v="2.7732291919678694E-2"/>
    <x v="7"/>
  </r>
  <r>
    <n v="0.10567034625908105"/>
    <n v="5.972902383284362E-2"/>
    <n v="2.3023601979185179E-2"/>
    <n v="2.1370225585962632E-2"/>
    <x v="8"/>
  </r>
  <r>
    <n v="0.10019813189923578"/>
    <n v="5.3379040156709107E-2"/>
    <n v="1.1488152388880292E-2"/>
    <n v="9.9656038780860708E-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Decile Analysis 2" cacheId="8" applyNumberFormats="0" applyBorderFormats="0" applyFontFormats="0" applyPatternFormats="0" applyAlignmentFormats="0" applyWidthHeightFormats="0" dataCaption="" updatedVersion="7" compact="0" compactData="0">
  <location ref="U15:V21" firstHeaderRow="1" firstDataRow="1" firstDataCol="1"/>
  <pivotFields count="6">
    <pivotField name="% Customers" dataField="1" compact="0" numFmtId="9" outline="0" multipleItemSelectionAllowed="1" showAll="0"/>
    <pivotField name="% Transactions" compact="0" numFmtId="9" outline="0" multipleItemSelectionAllowed="1" showAll="0"/>
    <pivotField name="% Revenue" compact="0" numFmtId="9" outline="0" multipleItemSelectionAllowed="1" showAll="0"/>
    <pivotField name="% Profit" compact="0" numFmtId="9" outline="0" multipleItemSelectionAllowed="1" showAll="0"/>
    <pivotField name="AOF" compact="0" numFmtId="164" outline="0" multipleItemSelectionAllowed="1" showAll="0"/>
    <pivotField name="AOV" axis="axisRow" compact="0" numFmtId="165" outline="0" multipleItemSelectionAllowed="1" showAll="0" sortType="ascending">
      <items count="9">
        <item x="0"/>
        <item x="7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6"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% Customers" fld="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Decile Analysis 3" cacheId="5" applyNumberFormats="0" applyBorderFormats="0" applyFontFormats="0" applyPatternFormats="0" applyAlignmentFormats="0" applyWidthHeightFormats="0" dataCaption="" updatedVersion="7" compact="0" compactData="0">
  <location ref="F17:H29" firstHeaderRow="1" firstDataRow="2" firstDataCol="1"/>
  <pivotFields count="3">
    <pivotField name="Decile" axis="axisRow" compact="0" outline="0" multipleItemSelectionAllowed="1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name="Revenue" dataField="1" compact="0" numFmtId="3" outline="0" multipleItemSelectionAllowed="1" showAll="0"/>
    <pivotField name="Profit" dataField="1" compact="0" numFmtId="3" outline="0" multipleItemSelectionAllowe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showDataAs="percentOfCol" baseField="0" numFmtId="10"/>
    <dataField name="SUM of Revenue" fld="1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Decile Analysis" cacheId="11" applyNumberFormats="0" applyBorderFormats="0" applyFontFormats="0" applyPatternFormats="0" applyAlignmentFormats="0" applyWidthHeightFormats="0" dataCaption="" updatedVersion="7" compact="0" compactData="0">
  <location ref="R15:S20" firstHeaderRow="1" firstDataRow="1" firstDataCol="1"/>
  <pivotFields count="5">
    <pivotField name="% Customers" dataField="1" compact="0" numFmtId="9" outline="0" multipleItemSelectionAllowed="1" showAll="0"/>
    <pivotField name="% Transactions" compact="0" numFmtId="9" outline="0" multipleItemSelectionAllowed="1" showAll="0"/>
    <pivotField name="% Revenue" compact="0" numFmtId="9" outline="0" multipleItemSelectionAllowed="1" showAll="0"/>
    <pivotField name="% Profit" compact="0" numFmtId="9" outline="0" multipleItemSelectionAllowed="1" showAll="0"/>
    <pivotField name="AOF" axis="axisRow" compact="0" numFmtId="164" outline="0" multipleItemSelectionAllowed="1" showAll="0" sortType="ascending">
      <items count="15">
        <item x="0"/>
        <item x="13"/>
        <item x="2"/>
        <item x="1"/>
        <item x="4"/>
        <item x="3"/>
        <item x="6"/>
        <item x="5"/>
        <item x="8"/>
        <item x="7"/>
        <item x="10"/>
        <item x="9"/>
        <item x="12"/>
        <item x="11"/>
        <item t="default"/>
      </items>
    </pivotField>
  </pivotFields>
  <rowFields count="1">
    <field x="4"/>
  </rowFields>
  <rowItems count="5">
    <i>
      <x v="4"/>
    </i>
    <i>
      <x v="5"/>
    </i>
    <i>
      <x v="6"/>
    </i>
    <i>
      <x v="12"/>
    </i>
    <i t="grand">
      <x/>
    </i>
  </rowItems>
  <colItems count="1">
    <i/>
  </colItems>
  <dataFields count="1">
    <dataField name="SUM of % Customers" fld="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9"/>
  <sheetViews>
    <sheetView tabSelected="1" workbookViewId="0"/>
  </sheetViews>
  <sheetFormatPr defaultColWidth="12.6328125" defaultRowHeight="15.75" customHeight="1" x14ac:dyDescent="0.25"/>
  <sheetData>
    <row r="1" spans="1:25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</v>
      </c>
      <c r="G1" s="1" t="s">
        <v>2</v>
      </c>
      <c r="H1" s="1" t="s">
        <v>3</v>
      </c>
      <c r="I1" s="1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P1" s="4" t="s">
        <v>0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5"/>
      <c r="X1" s="5"/>
      <c r="Y1" s="5"/>
    </row>
    <row r="2" spans="1:25" ht="15.75" customHeight="1" x14ac:dyDescent="0.35">
      <c r="A2" s="6">
        <v>1</v>
      </c>
      <c r="B2" s="7">
        <v>3180</v>
      </c>
      <c r="C2" s="7">
        <v>17503</v>
      </c>
      <c r="D2" s="7">
        <v>128952505</v>
      </c>
      <c r="E2" s="7">
        <v>62160175</v>
      </c>
      <c r="F2" s="8">
        <f t="shared" ref="F2:I2" si="0">B2/B$12</f>
        <v>0.10000943485234456</v>
      </c>
      <c r="G2" s="9">
        <f t="shared" si="0"/>
        <v>0.28571661769507017</v>
      </c>
      <c r="H2" s="9">
        <f t="shared" si="0"/>
        <v>0.39604497423316032</v>
      </c>
      <c r="I2" s="9">
        <f t="shared" si="0"/>
        <v>0.39842145172997651</v>
      </c>
      <c r="J2" s="10">
        <f t="shared" ref="J2:J11" si="1">D2/B2</f>
        <v>40551.102201257861</v>
      </c>
      <c r="K2" s="10">
        <f>E2/B2</f>
        <v>19547.224842767297</v>
      </c>
      <c r="L2" s="11">
        <f t="shared" ref="L2:L3" si="2">C2/B2</f>
        <v>5.5040880503144658</v>
      </c>
      <c r="M2" s="12">
        <v>7367.4515797291897</v>
      </c>
      <c r="N2" s="8">
        <v>0.48203929811212276</v>
      </c>
      <c r="P2" s="13">
        <v>1</v>
      </c>
      <c r="Q2" s="14">
        <f t="shared" ref="Q2:Q11" si="3">B2/$B$12</f>
        <v>0.10000943485234456</v>
      </c>
      <c r="R2" s="14">
        <f t="shared" ref="R2:R11" si="4">C2/$C$12</f>
        <v>0.28571661769507017</v>
      </c>
      <c r="S2" s="14">
        <f t="shared" ref="S2:S11" si="5">D2/$D$12</f>
        <v>0.39604497423316032</v>
      </c>
      <c r="T2" s="14">
        <f t="shared" ref="T2:T11" si="6">E2/$E$12</f>
        <v>0.39842145172997651</v>
      </c>
      <c r="U2" s="15">
        <f t="shared" ref="U2:V2" si="7">C2/B2</f>
        <v>5.5040880503144658</v>
      </c>
      <c r="V2" s="16">
        <f t="shared" si="7"/>
        <v>7367.4515797291897</v>
      </c>
      <c r="W2" s="17"/>
      <c r="X2" s="18"/>
      <c r="Y2" s="19"/>
    </row>
    <row r="3" spans="1:25" ht="15.75" customHeight="1" x14ac:dyDescent="0.35">
      <c r="A3" s="20">
        <v>2</v>
      </c>
      <c r="B3" s="21">
        <v>3180</v>
      </c>
      <c r="C3" s="21">
        <v>8703</v>
      </c>
      <c r="D3" s="21">
        <v>55542905</v>
      </c>
      <c r="E3" s="21">
        <v>27079030</v>
      </c>
      <c r="F3" s="8">
        <f t="shared" ref="F3:I3" si="8">B3/B$12</f>
        <v>0.10000943485234456</v>
      </c>
      <c r="G3" s="9">
        <f t="shared" si="8"/>
        <v>0.14206660137120469</v>
      </c>
      <c r="H3" s="9">
        <f t="shared" si="8"/>
        <v>0.17058597178519233</v>
      </c>
      <c r="I3" s="9">
        <f t="shared" si="8"/>
        <v>0.17356557384273108</v>
      </c>
      <c r="J3" s="10">
        <f t="shared" si="1"/>
        <v>17466.322327044025</v>
      </c>
      <c r="K3" s="10">
        <v>8515.4182389937105</v>
      </c>
      <c r="L3" s="11">
        <f t="shared" si="2"/>
        <v>2.7367924528301888</v>
      </c>
      <c r="M3" s="12">
        <v>6382.0412501436285</v>
      </c>
      <c r="N3" s="8">
        <v>0.48753355626609735</v>
      </c>
      <c r="P3" s="13">
        <v>2</v>
      </c>
      <c r="Q3" s="14">
        <f t="shared" si="3"/>
        <v>0.10000943485234456</v>
      </c>
      <c r="R3" s="14">
        <f t="shared" si="4"/>
        <v>0.14206660137120469</v>
      </c>
      <c r="S3" s="14">
        <f t="shared" si="5"/>
        <v>0.17058597178519233</v>
      </c>
      <c r="T3" s="14">
        <f t="shared" si="6"/>
        <v>0.17356557384273108</v>
      </c>
      <c r="U3" s="15">
        <f t="shared" ref="U3:V3" si="9">C3/B3</f>
        <v>2.7367924528301888</v>
      </c>
      <c r="V3" s="16">
        <f t="shared" si="9"/>
        <v>6382.0412501436285</v>
      </c>
      <c r="W3" s="17"/>
      <c r="X3" s="18"/>
      <c r="Y3" s="19"/>
    </row>
    <row r="4" spans="1:25" ht="15.75" customHeight="1" x14ac:dyDescent="0.35">
      <c r="A4" s="6">
        <v>3</v>
      </c>
      <c r="B4" s="7">
        <v>3177</v>
      </c>
      <c r="C4" s="7">
        <v>6345</v>
      </c>
      <c r="D4" s="7">
        <v>38274225</v>
      </c>
      <c r="E4" s="7">
        <v>18722055</v>
      </c>
      <c r="F4" s="8">
        <f t="shared" ref="F4:I4" si="10">B4/B$12</f>
        <v>9.991508632889895E-2</v>
      </c>
      <c r="G4" s="9">
        <f t="shared" si="10"/>
        <v>0.10357492654260529</v>
      </c>
      <c r="H4" s="9">
        <f t="shared" si="10"/>
        <v>0.11754959280487945</v>
      </c>
      <c r="I4" s="9">
        <f t="shared" si="10"/>
        <v>0.12000076145970415</v>
      </c>
      <c r="J4" s="10">
        <f t="shared" si="1"/>
        <v>12047.285174693106</v>
      </c>
      <c r="K4" s="10">
        <v>5892.9981114258735</v>
      </c>
      <c r="L4" s="11">
        <v>1.9971671388101984</v>
      </c>
      <c r="M4" s="12">
        <v>6032.1867612293145</v>
      </c>
      <c r="N4" s="8">
        <v>0.48915569159140387</v>
      </c>
      <c r="P4" s="13">
        <v>3</v>
      </c>
      <c r="Q4" s="14">
        <f t="shared" si="3"/>
        <v>9.991508632889895E-2</v>
      </c>
      <c r="R4" s="14">
        <f t="shared" si="4"/>
        <v>0.10357492654260529</v>
      </c>
      <c r="S4" s="14">
        <f t="shared" si="5"/>
        <v>0.11754959280487945</v>
      </c>
      <c r="T4" s="14">
        <f t="shared" si="6"/>
        <v>0.12000076145970415</v>
      </c>
      <c r="U4" s="15">
        <f t="shared" ref="U4:V4" si="11">C4/B4</f>
        <v>1.9971671388101984</v>
      </c>
      <c r="V4" s="16">
        <f t="shared" si="11"/>
        <v>6032.1867612293145</v>
      </c>
      <c r="W4" s="17"/>
      <c r="X4" s="18"/>
      <c r="Y4" s="19"/>
    </row>
    <row r="5" spans="1:25" ht="15.75" customHeight="1" x14ac:dyDescent="0.35">
      <c r="A5" s="6">
        <v>4</v>
      </c>
      <c r="B5" s="7">
        <v>3178</v>
      </c>
      <c r="C5" s="7">
        <v>5349</v>
      </c>
      <c r="D5" s="7">
        <v>29017010</v>
      </c>
      <c r="E5" s="7">
        <v>13916595</v>
      </c>
      <c r="F5" s="8">
        <f t="shared" ref="F5:I5" si="12">B5/B$12</f>
        <v>9.9946535836714159E-2</v>
      </c>
      <c r="G5" s="9">
        <f t="shared" si="12"/>
        <v>8.7316356513222337E-2</v>
      </c>
      <c r="H5" s="9">
        <f t="shared" si="12"/>
        <v>8.9118400435674788E-2</v>
      </c>
      <c r="I5" s="9">
        <f t="shared" si="12"/>
        <v>8.9199716426765732E-2</v>
      </c>
      <c r="J5" s="10">
        <f t="shared" si="1"/>
        <v>9130.5884203901824</v>
      </c>
      <c r="K5" s="10">
        <v>4379.0418502202647</v>
      </c>
      <c r="L5" s="11">
        <v>1.6831340465701699</v>
      </c>
      <c r="M5" s="12">
        <v>5424.7541596560104</v>
      </c>
      <c r="N5" s="8">
        <v>0.47960127525199875</v>
      </c>
      <c r="P5" s="13">
        <v>4</v>
      </c>
      <c r="Q5" s="14">
        <f t="shared" si="3"/>
        <v>9.9946535836714159E-2</v>
      </c>
      <c r="R5" s="14">
        <f t="shared" si="4"/>
        <v>8.7316356513222337E-2</v>
      </c>
      <c r="S5" s="14">
        <f t="shared" si="5"/>
        <v>8.9118400435674788E-2</v>
      </c>
      <c r="T5" s="14">
        <f t="shared" si="6"/>
        <v>8.9199716426765732E-2</v>
      </c>
      <c r="U5" s="15">
        <f t="shared" ref="U5:V5" si="13">C5/B5</f>
        <v>1.6831340465701699</v>
      </c>
      <c r="V5" s="16">
        <f t="shared" si="13"/>
        <v>5424.7541596560104</v>
      </c>
      <c r="W5" s="17"/>
      <c r="X5" s="18"/>
      <c r="Y5" s="19"/>
    </row>
    <row r="6" spans="1:25" ht="15.75" customHeight="1" x14ac:dyDescent="0.35">
      <c r="A6" s="6">
        <v>5</v>
      </c>
      <c r="B6" s="7">
        <v>3183</v>
      </c>
      <c r="C6" s="7">
        <v>4683</v>
      </c>
      <c r="D6" s="7">
        <v>22555225</v>
      </c>
      <c r="E6" s="7">
        <v>10734405</v>
      </c>
      <c r="F6" s="8">
        <f t="shared" ref="F6:I6" si="14">B6/B$12</f>
        <v>0.10010378337579016</v>
      </c>
      <c r="G6" s="9">
        <f t="shared" si="14"/>
        <v>7.6444662095984328E-2</v>
      </c>
      <c r="H6" s="9">
        <f t="shared" si="14"/>
        <v>6.9272663636492635E-2</v>
      </c>
      <c r="I6" s="9">
        <f t="shared" si="14"/>
        <v>6.880317218472308E-2</v>
      </c>
      <c r="J6" s="10">
        <f t="shared" si="1"/>
        <v>7086.1530003141688</v>
      </c>
      <c r="K6" s="10">
        <v>3372.4175306314796</v>
      </c>
      <c r="L6" s="11">
        <v>1.4712535344015081</v>
      </c>
      <c r="M6" s="12">
        <v>4816.4050822122572</v>
      </c>
      <c r="N6" s="8">
        <v>0.47591655591996979</v>
      </c>
      <c r="P6" s="13">
        <v>5</v>
      </c>
      <c r="Q6" s="14">
        <f t="shared" si="3"/>
        <v>0.10010378337579016</v>
      </c>
      <c r="R6" s="14">
        <f t="shared" si="4"/>
        <v>7.6444662095984328E-2</v>
      </c>
      <c r="S6" s="14">
        <f t="shared" si="5"/>
        <v>6.9272663636492635E-2</v>
      </c>
      <c r="T6" s="14">
        <f t="shared" si="6"/>
        <v>6.880317218472308E-2</v>
      </c>
      <c r="U6" s="15">
        <f t="shared" ref="U6:V6" si="15">C6/B6</f>
        <v>1.4712535344015081</v>
      </c>
      <c r="V6" s="16">
        <f t="shared" si="15"/>
        <v>4816.4050822122572</v>
      </c>
      <c r="W6" s="17"/>
      <c r="X6" s="18"/>
      <c r="Y6" s="19"/>
    </row>
    <row r="7" spans="1:25" ht="15.75" customHeight="1" x14ac:dyDescent="0.35">
      <c r="A7" s="6">
        <v>6</v>
      </c>
      <c r="B7" s="7">
        <v>3124</v>
      </c>
      <c r="C7" s="7">
        <v>4330</v>
      </c>
      <c r="D7" s="7">
        <v>17169955</v>
      </c>
      <c r="E7" s="7">
        <v>7948270</v>
      </c>
      <c r="F7" s="8">
        <f t="shared" ref="F7:I7" si="16">B7/B$12</f>
        <v>9.8248262414693213E-2</v>
      </c>
      <c r="G7" s="9">
        <f t="shared" si="16"/>
        <v>7.0682337577538362E-2</v>
      </c>
      <c r="H7" s="9">
        <f t="shared" si="16"/>
        <v>5.273317013546594E-2</v>
      </c>
      <c r="I7" s="9">
        <f t="shared" si="16"/>
        <v>5.0945179484160406E-2</v>
      </c>
      <c r="J7" s="10">
        <f t="shared" si="1"/>
        <v>5496.1443661971834</v>
      </c>
      <c r="K7" s="10">
        <v>2544.2605633802818</v>
      </c>
      <c r="L7" s="11">
        <v>1.3860435339308579</v>
      </c>
      <c r="M7" s="12">
        <v>3965.3475750577368</v>
      </c>
      <c r="N7" s="8">
        <v>0.46291734602682416</v>
      </c>
      <c r="P7" s="13">
        <v>6</v>
      </c>
      <c r="Q7" s="14">
        <f t="shared" si="3"/>
        <v>9.8248262414693213E-2</v>
      </c>
      <c r="R7" s="14">
        <f t="shared" si="4"/>
        <v>7.0682337577538362E-2</v>
      </c>
      <c r="S7" s="14">
        <f t="shared" si="5"/>
        <v>5.273317013546594E-2</v>
      </c>
      <c r="T7" s="14">
        <f t="shared" si="6"/>
        <v>5.0945179484160406E-2</v>
      </c>
      <c r="U7" s="15">
        <f t="shared" ref="U7:V7" si="17">C7/B7</f>
        <v>1.3860435339308579</v>
      </c>
      <c r="V7" s="16">
        <f t="shared" si="17"/>
        <v>3965.3475750577368</v>
      </c>
      <c r="W7" s="17"/>
      <c r="X7" s="18"/>
      <c r="Y7" s="19"/>
    </row>
    <row r="8" spans="1:25" ht="15.75" customHeight="1" x14ac:dyDescent="0.35">
      <c r="A8" s="6">
        <v>7</v>
      </c>
      <c r="B8" s="7">
        <v>3233</v>
      </c>
      <c r="C8" s="7">
        <v>4004</v>
      </c>
      <c r="D8" s="7">
        <v>13470710</v>
      </c>
      <c r="E8" s="7">
        <v>6240025</v>
      </c>
      <c r="F8" s="8">
        <f t="shared" ref="F8:I8" si="18">B8/B$12</f>
        <v>0.1016762587665503</v>
      </c>
      <c r="G8" s="9">
        <f t="shared" si="18"/>
        <v>6.5360757427358793E-2</v>
      </c>
      <c r="H8" s="9">
        <f t="shared" si="18"/>
        <v>4.1371875597549464E-2</v>
      </c>
      <c r="I8" s="9">
        <f t="shared" si="18"/>
        <v>3.999602348821165E-2</v>
      </c>
      <c r="J8" s="10">
        <f t="shared" si="1"/>
        <v>4166.6285184039589</v>
      </c>
      <c r="K8" s="10">
        <v>1930.1036189297865</v>
      </c>
      <c r="L8" s="11">
        <v>1.238478193628209</v>
      </c>
      <c r="M8" s="12">
        <v>3364.3131868131868</v>
      </c>
      <c r="N8" s="8">
        <v>0.4632291096757335</v>
      </c>
      <c r="P8" s="13">
        <v>7</v>
      </c>
      <c r="Q8" s="14">
        <f t="shared" si="3"/>
        <v>0.1016762587665503</v>
      </c>
      <c r="R8" s="14">
        <f t="shared" si="4"/>
        <v>6.5360757427358793E-2</v>
      </c>
      <c r="S8" s="14">
        <f t="shared" si="5"/>
        <v>4.1371875597549464E-2</v>
      </c>
      <c r="T8" s="14">
        <f t="shared" si="6"/>
        <v>3.999602348821165E-2</v>
      </c>
      <c r="U8" s="15">
        <f t="shared" ref="U8:V8" si="19">C8/B8</f>
        <v>1.238478193628209</v>
      </c>
      <c r="V8" s="16">
        <f t="shared" si="19"/>
        <v>3364.3131868131868</v>
      </c>
      <c r="W8" s="17"/>
      <c r="X8" s="18"/>
      <c r="Y8" s="19"/>
    </row>
    <row r="9" spans="1:25" ht="15.75" customHeight="1" x14ac:dyDescent="0.35">
      <c r="A9" s="6">
        <v>8</v>
      </c>
      <c r="B9" s="7">
        <v>2996</v>
      </c>
      <c r="C9" s="7">
        <v>3414</v>
      </c>
      <c r="D9" s="7">
        <v>9381075</v>
      </c>
      <c r="E9" s="7">
        <v>4326685</v>
      </c>
      <c r="F9" s="8">
        <f t="shared" ref="F9:I9" si="20">B9/B$12</f>
        <v>9.4222725414347272E-2</v>
      </c>
      <c r="G9" s="9">
        <f t="shared" si="20"/>
        <v>5.5729676787463274E-2</v>
      </c>
      <c r="H9" s="9">
        <f t="shared" si="20"/>
        <v>2.8811597003519589E-2</v>
      </c>
      <c r="I9" s="9">
        <f t="shared" si="20"/>
        <v>2.7732291919678694E-2</v>
      </c>
      <c r="J9" s="10">
        <f t="shared" si="1"/>
        <v>3131.1999332443256</v>
      </c>
      <c r="K9" s="10">
        <v>1444.1538718291056</v>
      </c>
      <c r="L9" s="11">
        <v>1.1395193591455273</v>
      </c>
      <c r="M9" s="12">
        <v>2747.8251318101934</v>
      </c>
      <c r="N9" s="8">
        <v>0.46121419986515405</v>
      </c>
      <c r="P9" s="13">
        <v>8</v>
      </c>
      <c r="Q9" s="14">
        <f t="shared" si="3"/>
        <v>9.4222725414347272E-2</v>
      </c>
      <c r="R9" s="14">
        <f t="shared" si="4"/>
        <v>5.5729676787463274E-2</v>
      </c>
      <c r="S9" s="14">
        <f t="shared" si="5"/>
        <v>2.8811597003519589E-2</v>
      </c>
      <c r="T9" s="14">
        <f t="shared" si="6"/>
        <v>2.7732291919678694E-2</v>
      </c>
      <c r="U9" s="15">
        <f t="shared" ref="U9:V9" si="21">C9/B9</f>
        <v>1.1395193591455273</v>
      </c>
      <c r="V9" s="16">
        <f t="shared" si="21"/>
        <v>2747.8251318101934</v>
      </c>
      <c r="W9" s="17"/>
      <c r="X9" s="18"/>
      <c r="Y9" s="19"/>
    </row>
    <row r="10" spans="1:25" ht="15.75" customHeight="1" x14ac:dyDescent="0.35">
      <c r="A10" s="6">
        <v>9</v>
      </c>
      <c r="B10" s="7">
        <v>3360</v>
      </c>
      <c r="C10" s="7">
        <v>3659</v>
      </c>
      <c r="D10" s="7">
        <v>7496500</v>
      </c>
      <c r="E10" s="7">
        <v>3334100</v>
      </c>
      <c r="F10" s="8">
        <f t="shared" ref="F10:I10" si="22">B10/B$12</f>
        <v>0.10567034625908105</v>
      </c>
      <c r="G10" s="9">
        <f t="shared" si="22"/>
        <v>5.972902383284362E-2</v>
      </c>
      <c r="H10" s="9">
        <f t="shared" si="22"/>
        <v>2.3023601979185179E-2</v>
      </c>
      <c r="I10" s="9">
        <f t="shared" si="22"/>
        <v>2.1370225585962632E-2</v>
      </c>
      <c r="J10" s="10">
        <f t="shared" si="1"/>
        <v>2231.1011904761904</v>
      </c>
      <c r="K10" s="10">
        <v>992.29166666666663</v>
      </c>
      <c r="L10" s="11">
        <v>1.0889880952380953</v>
      </c>
      <c r="M10" s="12">
        <v>2048.7838207160426</v>
      </c>
      <c r="N10" s="8">
        <v>0.44475421863536319</v>
      </c>
      <c r="P10" s="13">
        <v>9</v>
      </c>
      <c r="Q10" s="14">
        <f t="shared" si="3"/>
        <v>0.10567034625908105</v>
      </c>
      <c r="R10" s="14">
        <f t="shared" si="4"/>
        <v>5.972902383284362E-2</v>
      </c>
      <c r="S10" s="14">
        <f t="shared" si="5"/>
        <v>2.3023601979185179E-2</v>
      </c>
      <c r="T10" s="14">
        <f t="shared" si="6"/>
        <v>2.1370225585962632E-2</v>
      </c>
      <c r="U10" s="15">
        <f t="shared" ref="U10:V10" si="23">C10/B10</f>
        <v>1.0889880952380953</v>
      </c>
      <c r="V10" s="16">
        <f t="shared" si="23"/>
        <v>2048.7838207160426</v>
      </c>
      <c r="W10" s="17"/>
      <c r="X10" s="18"/>
      <c r="Y10" s="19"/>
    </row>
    <row r="11" spans="1:25" ht="15.75" customHeight="1" x14ac:dyDescent="0.35">
      <c r="A11" s="6">
        <v>10</v>
      </c>
      <c r="B11" s="7">
        <v>3186</v>
      </c>
      <c r="C11" s="7">
        <v>3270</v>
      </c>
      <c r="D11" s="7">
        <v>3740550</v>
      </c>
      <c r="E11" s="7">
        <v>1554795</v>
      </c>
      <c r="F11" s="8">
        <f t="shared" ref="F11:I11" si="24">B11/B$12</f>
        <v>0.10019813189923578</v>
      </c>
      <c r="G11" s="9">
        <f t="shared" si="24"/>
        <v>5.3379040156709107E-2</v>
      </c>
      <c r="H11" s="9">
        <f t="shared" si="24"/>
        <v>1.1488152388880292E-2</v>
      </c>
      <c r="I11" s="9">
        <f t="shared" si="24"/>
        <v>9.9656038780860708E-3</v>
      </c>
      <c r="J11" s="10">
        <f t="shared" si="1"/>
        <v>1174.0583804143125</v>
      </c>
      <c r="K11" s="10">
        <v>488.00847457627117</v>
      </c>
      <c r="L11" s="11">
        <v>1.0263653483992468</v>
      </c>
      <c r="M11" s="12">
        <v>1143.8990825688074</v>
      </c>
      <c r="N11" s="8">
        <v>0.4156594618438465</v>
      </c>
      <c r="P11" s="13">
        <v>10</v>
      </c>
      <c r="Q11" s="14">
        <f t="shared" si="3"/>
        <v>0.10019813189923578</v>
      </c>
      <c r="R11" s="14">
        <f t="shared" si="4"/>
        <v>5.3379040156709107E-2</v>
      </c>
      <c r="S11" s="14">
        <f t="shared" si="5"/>
        <v>1.1488152388880292E-2</v>
      </c>
      <c r="T11" s="14">
        <f t="shared" si="6"/>
        <v>9.9656038780860708E-3</v>
      </c>
      <c r="U11" s="15">
        <f t="shared" ref="U11:V11" si="25">C11/B11</f>
        <v>1.0263653483992468</v>
      </c>
      <c r="V11" s="16">
        <f t="shared" si="25"/>
        <v>1143.8990825688074</v>
      </c>
      <c r="W11" s="17"/>
      <c r="X11" s="18"/>
      <c r="Y11" s="19"/>
    </row>
    <row r="12" spans="1:25" ht="15.75" customHeight="1" x14ac:dyDescent="0.35">
      <c r="A12" s="22" t="s">
        <v>16</v>
      </c>
      <c r="B12" s="23">
        <f t="shared" ref="B12:E12" si="26">SUM(B2:B11)</f>
        <v>31797</v>
      </c>
      <c r="C12" s="23">
        <f t="shared" si="26"/>
        <v>61260</v>
      </c>
      <c r="D12" s="23">
        <f t="shared" si="26"/>
        <v>325600660</v>
      </c>
      <c r="E12" s="23">
        <f t="shared" si="26"/>
        <v>156016135</v>
      </c>
      <c r="F12" s="24">
        <f t="shared" ref="F12:I12" si="27">B12/B$12</f>
        <v>1</v>
      </c>
      <c r="G12" s="25">
        <f t="shared" si="27"/>
        <v>1</v>
      </c>
      <c r="H12" s="25">
        <f t="shared" si="27"/>
        <v>1</v>
      </c>
      <c r="I12" s="25">
        <f t="shared" si="27"/>
        <v>1</v>
      </c>
      <c r="J12" s="26"/>
      <c r="K12" s="27">
        <v>4906.6306569802182</v>
      </c>
      <c r="L12" s="28">
        <v>1.926596848759317</v>
      </c>
      <c r="M12" s="29">
        <v>5315.0613777342478</v>
      </c>
      <c r="N12" s="24">
        <v>0.47916406250527871</v>
      </c>
      <c r="P12" s="30"/>
      <c r="Q12" s="31">
        <f t="shared" ref="Q12:T12" si="28">SUM(Q2:Q11)</f>
        <v>1</v>
      </c>
      <c r="R12" s="31">
        <f t="shared" si="28"/>
        <v>1</v>
      </c>
      <c r="S12" s="31">
        <f t="shared" si="28"/>
        <v>1</v>
      </c>
      <c r="T12" s="31">
        <f t="shared" si="28"/>
        <v>1</v>
      </c>
      <c r="U12" s="32"/>
      <c r="V12" s="33"/>
      <c r="W12" s="17"/>
      <c r="X12" s="18"/>
      <c r="Y12" s="19"/>
    </row>
    <row r="15" spans="1:25" ht="15.75" customHeight="1" x14ac:dyDescent="0.25">
      <c r="R15" s="112" t="s">
        <v>14</v>
      </c>
      <c r="S15" s="123" t="s">
        <v>17</v>
      </c>
      <c r="U15" s="112" t="s">
        <v>15</v>
      </c>
      <c r="V15" s="123" t="s">
        <v>17</v>
      </c>
    </row>
    <row r="16" spans="1:25" ht="15.75" customHeight="1" x14ac:dyDescent="0.25">
      <c r="B16" s="34"/>
      <c r="R16" s="130" t="s">
        <v>59</v>
      </c>
      <c r="S16" s="125">
        <v>0.1998616221656131</v>
      </c>
      <c r="U16" s="124" t="s">
        <v>54</v>
      </c>
      <c r="V16" s="125">
        <v>0.10019813189923578</v>
      </c>
    </row>
    <row r="17" spans="2:22" ht="15.75" customHeight="1" x14ac:dyDescent="0.35">
      <c r="B17" s="35" t="s">
        <v>0</v>
      </c>
      <c r="C17" s="35" t="s">
        <v>3</v>
      </c>
      <c r="D17" s="36" t="s">
        <v>4</v>
      </c>
      <c r="E17" s="5"/>
      <c r="F17" s="111"/>
      <c r="G17" s="112" t="s">
        <v>53</v>
      </c>
      <c r="H17" s="113"/>
      <c r="J17" s="4" t="s">
        <v>20</v>
      </c>
      <c r="K17" s="4" t="s">
        <v>21</v>
      </c>
      <c r="R17" s="131" t="s">
        <v>60</v>
      </c>
      <c r="S17" s="127">
        <v>0.60011950812969783</v>
      </c>
      <c r="U17" s="126" t="s">
        <v>55</v>
      </c>
      <c r="V17" s="127">
        <v>0.19989307167342832</v>
      </c>
    </row>
    <row r="18" spans="2:22" ht="15.75" customHeight="1" x14ac:dyDescent="0.35">
      <c r="B18" s="37">
        <v>1</v>
      </c>
      <c r="C18" s="38">
        <v>128952505</v>
      </c>
      <c r="D18" s="39">
        <v>62160175</v>
      </c>
      <c r="E18" s="40"/>
      <c r="F18" s="112" t="s">
        <v>0</v>
      </c>
      <c r="G18" s="111" t="s">
        <v>18</v>
      </c>
      <c r="H18" s="114" t="s">
        <v>19</v>
      </c>
      <c r="J18" s="41">
        <v>0.39842145172997651</v>
      </c>
      <c r="K18" s="41">
        <v>0.39604497423316032</v>
      </c>
      <c r="R18" s="131" t="s">
        <v>61</v>
      </c>
      <c r="S18" s="127">
        <v>0.10000943485234456</v>
      </c>
      <c r="U18" s="126" t="s">
        <v>56</v>
      </c>
      <c r="V18" s="127">
        <v>0.19992452118124351</v>
      </c>
    </row>
    <row r="19" spans="2:22" ht="15.75" customHeight="1" x14ac:dyDescent="0.35">
      <c r="B19" s="35">
        <v>2</v>
      </c>
      <c r="C19" s="42">
        <v>55542905</v>
      </c>
      <c r="D19" s="43">
        <v>27079030</v>
      </c>
      <c r="E19" s="40"/>
      <c r="F19" s="111">
        <v>1</v>
      </c>
      <c r="G19" s="115">
        <v>0.39842145172997651</v>
      </c>
      <c r="H19" s="116">
        <v>0.39604497423316032</v>
      </c>
      <c r="J19" s="41">
        <f t="shared" ref="J19:K19" si="29">J18+G19</f>
        <v>0.79684290345995301</v>
      </c>
      <c r="K19" s="41">
        <f t="shared" si="29"/>
        <v>0.79208994846632064</v>
      </c>
      <c r="R19" s="131" t="s">
        <v>62</v>
      </c>
      <c r="S19" s="127">
        <v>0.10000943485234456</v>
      </c>
      <c r="U19" s="126" t="s">
        <v>57</v>
      </c>
      <c r="V19" s="127">
        <v>0.20005031921250432</v>
      </c>
    </row>
    <row r="20" spans="2:22" ht="15.75" customHeight="1" x14ac:dyDescent="0.35">
      <c r="B20" s="35">
        <v>3</v>
      </c>
      <c r="C20" s="42">
        <v>38274225</v>
      </c>
      <c r="D20" s="43">
        <v>18722055</v>
      </c>
      <c r="E20" s="40"/>
      <c r="F20" s="117">
        <v>2</v>
      </c>
      <c r="G20" s="118">
        <v>0.17356557384273108</v>
      </c>
      <c r="H20" s="119">
        <v>0.17058597178519233</v>
      </c>
      <c r="J20" s="41">
        <f t="shared" ref="J20:K20" si="30">J19+G20</f>
        <v>0.97040847730268409</v>
      </c>
      <c r="K20" s="41">
        <f t="shared" si="30"/>
        <v>0.96267592025151294</v>
      </c>
      <c r="R20" s="132" t="s">
        <v>22</v>
      </c>
      <c r="S20" s="129">
        <v>1</v>
      </c>
      <c r="U20" s="126" t="s">
        <v>58</v>
      </c>
      <c r="V20" s="127">
        <v>0.29993395603358808</v>
      </c>
    </row>
    <row r="21" spans="2:22" ht="15.75" customHeight="1" x14ac:dyDescent="0.35">
      <c r="B21" s="35">
        <v>4</v>
      </c>
      <c r="C21" s="42">
        <v>29017010</v>
      </c>
      <c r="D21" s="43">
        <v>13916595</v>
      </c>
      <c r="E21" s="40"/>
      <c r="F21" s="117">
        <v>3</v>
      </c>
      <c r="G21" s="118">
        <v>0.12000076145970415</v>
      </c>
      <c r="H21" s="119">
        <v>0.11754959280487945</v>
      </c>
      <c r="J21" s="41">
        <f t="shared" ref="J21:K21" si="31">J20+G21</f>
        <v>1.0904092387623883</v>
      </c>
      <c r="K21" s="41">
        <f t="shared" si="31"/>
        <v>1.0802255130563925</v>
      </c>
      <c r="U21" s="128" t="s">
        <v>22</v>
      </c>
      <c r="V21" s="129">
        <v>1</v>
      </c>
    </row>
    <row r="22" spans="2:22" ht="15.75" customHeight="1" x14ac:dyDescent="0.35">
      <c r="B22" s="35">
        <v>5</v>
      </c>
      <c r="C22" s="42">
        <v>22555225</v>
      </c>
      <c r="D22" s="43">
        <v>10734405</v>
      </c>
      <c r="E22" s="40"/>
      <c r="F22" s="117">
        <v>4</v>
      </c>
      <c r="G22" s="118">
        <v>8.9199716426765732E-2</v>
      </c>
      <c r="H22" s="119">
        <v>8.9118400435674788E-2</v>
      </c>
      <c r="J22" s="41">
        <f t="shared" ref="J22:K22" si="32">J21+G22</f>
        <v>1.179608955189154</v>
      </c>
      <c r="K22" s="41">
        <f t="shared" si="32"/>
        <v>1.1693439134920673</v>
      </c>
    </row>
    <row r="23" spans="2:22" ht="15.75" customHeight="1" x14ac:dyDescent="0.35">
      <c r="B23" s="35">
        <v>6</v>
      </c>
      <c r="C23" s="42">
        <v>17169955</v>
      </c>
      <c r="D23" s="43">
        <v>7948270</v>
      </c>
      <c r="E23" s="40"/>
      <c r="F23" s="117">
        <v>5</v>
      </c>
      <c r="G23" s="118">
        <v>6.880317218472308E-2</v>
      </c>
      <c r="H23" s="119">
        <v>6.9272663636492635E-2</v>
      </c>
      <c r="J23" s="41">
        <f t="shared" ref="J23:K23" si="33">J22+G23</f>
        <v>1.2484121273738771</v>
      </c>
      <c r="K23" s="41">
        <f t="shared" si="33"/>
        <v>1.23861657712856</v>
      </c>
    </row>
    <row r="24" spans="2:22" ht="15.75" customHeight="1" x14ac:dyDescent="0.35">
      <c r="B24" s="35">
        <v>7</v>
      </c>
      <c r="C24" s="42">
        <v>13470710</v>
      </c>
      <c r="D24" s="43">
        <v>6240025</v>
      </c>
      <c r="E24" s="40"/>
      <c r="F24" s="117">
        <v>6</v>
      </c>
      <c r="G24" s="118">
        <v>5.0945179484160406E-2</v>
      </c>
      <c r="H24" s="119">
        <v>5.273317013546594E-2</v>
      </c>
      <c r="J24" s="41">
        <f t="shared" ref="J24:K24" si="34">J23+G24</f>
        <v>1.2993573068580375</v>
      </c>
      <c r="K24" s="41">
        <f t="shared" si="34"/>
        <v>1.2913497472640258</v>
      </c>
    </row>
    <row r="25" spans="2:22" ht="15.75" customHeight="1" x14ac:dyDescent="0.35">
      <c r="B25" s="35">
        <v>8</v>
      </c>
      <c r="C25" s="42">
        <v>9381075</v>
      </c>
      <c r="D25" s="43">
        <v>4326685</v>
      </c>
      <c r="E25" s="40"/>
      <c r="F25" s="117">
        <v>7</v>
      </c>
      <c r="G25" s="118">
        <v>3.999602348821165E-2</v>
      </c>
      <c r="H25" s="119">
        <v>4.1371875597549464E-2</v>
      </c>
      <c r="J25" s="41">
        <f t="shared" ref="J25:K25" si="35">J24+G25</f>
        <v>1.3393533303462493</v>
      </c>
      <c r="K25" s="41">
        <f t="shared" si="35"/>
        <v>1.3327216228615753</v>
      </c>
    </row>
    <row r="26" spans="2:22" ht="15.75" customHeight="1" x14ac:dyDescent="0.35">
      <c r="B26" s="35">
        <v>9</v>
      </c>
      <c r="C26" s="42">
        <v>7496500</v>
      </c>
      <c r="D26" s="43">
        <v>3334100</v>
      </c>
      <c r="E26" s="40"/>
      <c r="F26" s="117">
        <v>8</v>
      </c>
      <c r="G26" s="118">
        <v>2.7732291919678694E-2</v>
      </c>
      <c r="H26" s="119">
        <v>2.8811597003519589E-2</v>
      </c>
      <c r="J26" s="41">
        <f t="shared" ref="J26:K26" si="36">J25+G26</f>
        <v>1.367085622265928</v>
      </c>
      <c r="K26" s="41">
        <f t="shared" si="36"/>
        <v>1.3615332198650949</v>
      </c>
    </row>
    <row r="27" spans="2:22" ht="15.75" customHeight="1" x14ac:dyDescent="0.35">
      <c r="B27" s="44">
        <v>10</v>
      </c>
      <c r="C27" s="45">
        <v>3740550</v>
      </c>
      <c r="D27" s="46">
        <v>1554795</v>
      </c>
      <c r="E27" s="40"/>
      <c r="F27" s="117">
        <v>9</v>
      </c>
      <c r="G27" s="118">
        <v>2.1370225585962632E-2</v>
      </c>
      <c r="H27" s="119">
        <v>2.3023601979185179E-2</v>
      </c>
      <c r="J27" s="47">
        <f t="shared" ref="J27:K27" si="37">J26+G27</f>
        <v>1.3884558478518907</v>
      </c>
      <c r="K27" s="47">
        <f t="shared" si="37"/>
        <v>1.3845568218442801</v>
      </c>
    </row>
    <row r="28" spans="2:22" ht="15.75" customHeight="1" x14ac:dyDescent="0.35">
      <c r="B28" s="48"/>
      <c r="C28" s="42">
        <v>325600660</v>
      </c>
      <c r="D28" s="43">
        <v>156016135</v>
      </c>
      <c r="E28" s="40"/>
      <c r="F28" s="117">
        <v>10</v>
      </c>
      <c r="G28" s="118">
        <v>9.9656038780860708E-3</v>
      </c>
      <c r="H28" s="119">
        <v>1.1488152388880292E-2</v>
      </c>
    </row>
    <row r="29" spans="2:22" ht="15.75" customHeight="1" x14ac:dyDescent="0.25">
      <c r="F29" s="120" t="s">
        <v>22</v>
      </c>
      <c r="G29" s="121">
        <v>1</v>
      </c>
      <c r="H29" s="122">
        <v>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7"/>
  <sheetViews>
    <sheetView workbookViewId="0"/>
  </sheetViews>
  <sheetFormatPr defaultColWidth="12.6328125" defaultRowHeight="15.75" customHeight="1" x14ac:dyDescent="0.25"/>
  <sheetData>
    <row r="1" spans="1:9" ht="15.75" customHeight="1" x14ac:dyDescent="0.35">
      <c r="A1" s="49" t="s">
        <v>23</v>
      </c>
      <c r="B1" s="49" t="s">
        <v>1</v>
      </c>
      <c r="C1" s="49" t="s">
        <v>2</v>
      </c>
      <c r="D1" s="49" t="s">
        <v>3</v>
      </c>
      <c r="E1" s="49" t="s">
        <v>4</v>
      </c>
      <c r="F1" s="50" t="s">
        <v>24</v>
      </c>
      <c r="G1" s="51" t="s">
        <v>25</v>
      </c>
      <c r="H1" s="52" t="s">
        <v>14</v>
      </c>
      <c r="I1" s="51" t="s">
        <v>15</v>
      </c>
    </row>
    <row r="2" spans="1:9" ht="15.75" customHeight="1" x14ac:dyDescent="0.35">
      <c r="A2" s="53" t="s">
        <v>26</v>
      </c>
      <c r="B2" s="54">
        <v>2943</v>
      </c>
      <c r="C2" s="54">
        <v>3683</v>
      </c>
      <c r="D2" s="54">
        <v>21803980</v>
      </c>
      <c r="E2" s="54">
        <v>10398135</v>
      </c>
      <c r="F2" s="55">
        <f t="shared" ref="F2:F17" si="0">B2/$B$2</f>
        <v>1</v>
      </c>
      <c r="G2" s="56">
        <f t="shared" ref="G2:G17" si="1">D2/B2</f>
        <v>7408.759768943255</v>
      </c>
      <c r="H2" s="57">
        <f t="shared" ref="H2:I2" si="2">C2/B2</f>
        <v>1.2514441046551139</v>
      </c>
      <c r="I2" s="56">
        <f t="shared" si="2"/>
        <v>5920.1683410263377</v>
      </c>
    </row>
    <row r="3" spans="1:9" ht="15.75" customHeight="1" x14ac:dyDescent="0.35">
      <c r="A3" s="58" t="s">
        <v>27</v>
      </c>
      <c r="B3" s="59">
        <v>346</v>
      </c>
      <c r="C3" s="59">
        <v>513</v>
      </c>
      <c r="D3" s="59">
        <v>2765015</v>
      </c>
      <c r="E3" s="59">
        <v>1386330</v>
      </c>
      <c r="F3" s="60">
        <f t="shared" si="0"/>
        <v>0.11756710839279647</v>
      </c>
      <c r="G3" s="61">
        <f t="shared" si="1"/>
        <v>7991.3728323699424</v>
      </c>
      <c r="H3" s="62">
        <f t="shared" ref="H3:I3" si="3">C3/B3</f>
        <v>1.4826589595375723</v>
      </c>
      <c r="I3" s="61">
        <f t="shared" si="3"/>
        <v>5389.8927875243662</v>
      </c>
    </row>
    <row r="4" spans="1:9" ht="15.75" customHeight="1" x14ac:dyDescent="0.35">
      <c r="A4" s="58" t="s">
        <v>28</v>
      </c>
      <c r="B4" s="59">
        <v>313</v>
      </c>
      <c r="C4" s="59">
        <v>451</v>
      </c>
      <c r="D4" s="59">
        <v>2352130</v>
      </c>
      <c r="E4" s="59">
        <v>1173700</v>
      </c>
      <c r="F4" s="60">
        <f t="shared" si="0"/>
        <v>0.10635406048250085</v>
      </c>
      <c r="G4" s="61">
        <f t="shared" si="1"/>
        <v>7514.792332268371</v>
      </c>
      <c r="H4" s="62">
        <f t="shared" ref="H4:I4" si="4">C4/B4</f>
        <v>1.4408945686900958</v>
      </c>
      <c r="I4" s="61">
        <f t="shared" si="4"/>
        <v>5215.3658536585363</v>
      </c>
    </row>
    <row r="5" spans="1:9" ht="15.75" customHeight="1" x14ac:dyDescent="0.35">
      <c r="A5" s="58" t="s">
        <v>29</v>
      </c>
      <c r="B5" s="59">
        <v>485</v>
      </c>
      <c r="C5" s="59">
        <v>819</v>
      </c>
      <c r="D5" s="59">
        <v>4692930</v>
      </c>
      <c r="E5" s="59">
        <v>2335300</v>
      </c>
      <c r="F5" s="60">
        <f t="shared" si="0"/>
        <v>0.16479782534828408</v>
      </c>
      <c r="G5" s="61">
        <f t="shared" si="1"/>
        <v>9676.1443298969079</v>
      </c>
      <c r="H5" s="62">
        <f t="shared" ref="H5:I5" si="5">C5/B5</f>
        <v>1.688659793814433</v>
      </c>
      <c r="I5" s="61">
        <f t="shared" si="5"/>
        <v>5730.0732600732599</v>
      </c>
    </row>
    <row r="6" spans="1:9" ht="15.75" customHeight="1" x14ac:dyDescent="0.35">
      <c r="A6" s="58" t="s">
        <v>30</v>
      </c>
      <c r="B6" s="59">
        <v>296</v>
      </c>
      <c r="C6" s="59">
        <v>435</v>
      </c>
      <c r="D6" s="59">
        <v>2411530</v>
      </c>
      <c r="E6" s="59">
        <v>1161600</v>
      </c>
      <c r="F6" s="60">
        <f t="shared" si="0"/>
        <v>0.10057764186204553</v>
      </c>
      <c r="G6" s="61">
        <f t="shared" si="1"/>
        <v>8147.0608108108108</v>
      </c>
      <c r="H6" s="62">
        <f t="shared" ref="H6:I6" si="6">C6/B6</f>
        <v>1.4695945945945945</v>
      </c>
      <c r="I6" s="61">
        <f t="shared" si="6"/>
        <v>5543.7471264367814</v>
      </c>
    </row>
    <row r="7" spans="1:9" ht="15.75" customHeight="1" x14ac:dyDescent="0.35">
      <c r="A7" s="58" t="s">
        <v>31</v>
      </c>
      <c r="B7" s="59">
        <v>286</v>
      </c>
      <c r="C7" s="59">
        <v>453</v>
      </c>
      <c r="D7" s="59">
        <v>2186470</v>
      </c>
      <c r="E7" s="59">
        <v>1074425</v>
      </c>
      <c r="F7" s="60">
        <f t="shared" si="0"/>
        <v>9.717974855589534E-2</v>
      </c>
      <c r="G7" s="61">
        <f t="shared" si="1"/>
        <v>7645</v>
      </c>
      <c r="H7" s="62">
        <f t="shared" ref="H7:I7" si="7">C7/B7</f>
        <v>1.583916083916084</v>
      </c>
      <c r="I7" s="61">
        <f t="shared" si="7"/>
        <v>4826.644591611479</v>
      </c>
    </row>
    <row r="8" spans="1:9" ht="15.75" customHeight="1" x14ac:dyDescent="0.35">
      <c r="A8" s="58" t="s">
        <v>32</v>
      </c>
      <c r="B8" s="59">
        <v>245</v>
      </c>
      <c r="C8" s="59">
        <v>396</v>
      </c>
      <c r="D8" s="59">
        <v>2040280</v>
      </c>
      <c r="E8" s="59">
        <v>988295</v>
      </c>
      <c r="F8" s="60">
        <f t="shared" si="0"/>
        <v>8.3248386000679575E-2</v>
      </c>
      <c r="G8" s="61">
        <f t="shared" si="1"/>
        <v>8327.6734693877552</v>
      </c>
      <c r="H8" s="62">
        <f t="shared" ref="H8:I8" si="8">C8/B8</f>
        <v>1.616326530612245</v>
      </c>
      <c r="I8" s="61">
        <f t="shared" si="8"/>
        <v>5152.2222222222226</v>
      </c>
    </row>
    <row r="9" spans="1:9" ht="15.75" customHeight="1" x14ac:dyDescent="0.35">
      <c r="A9" s="58" t="s">
        <v>33</v>
      </c>
      <c r="B9" s="59">
        <v>420</v>
      </c>
      <c r="C9" s="59">
        <v>808</v>
      </c>
      <c r="D9" s="59">
        <v>4619175</v>
      </c>
      <c r="E9" s="59">
        <v>2215950</v>
      </c>
      <c r="F9" s="60">
        <f t="shared" si="0"/>
        <v>0.14271151885830785</v>
      </c>
      <c r="G9" s="61">
        <f t="shared" si="1"/>
        <v>10998.035714285714</v>
      </c>
      <c r="H9" s="62">
        <f t="shared" ref="H9:I9" si="9">C9/B9</f>
        <v>1.9238095238095239</v>
      </c>
      <c r="I9" s="61">
        <f t="shared" si="9"/>
        <v>5716.8007425742571</v>
      </c>
    </row>
    <row r="10" spans="1:9" ht="15.75" customHeight="1" x14ac:dyDescent="0.35">
      <c r="A10" s="58" t="s">
        <v>34</v>
      </c>
      <c r="B10" s="59">
        <v>312</v>
      </c>
      <c r="C10" s="59">
        <v>481</v>
      </c>
      <c r="D10" s="59">
        <v>2391565</v>
      </c>
      <c r="E10" s="59">
        <v>1101815</v>
      </c>
      <c r="F10" s="60">
        <f t="shared" si="0"/>
        <v>0.10601427115188583</v>
      </c>
      <c r="G10" s="61">
        <f t="shared" si="1"/>
        <v>7665.2724358974356</v>
      </c>
      <c r="H10" s="62">
        <f t="shared" ref="H10:I10" si="10">C10/B10</f>
        <v>1.5416666666666667</v>
      </c>
      <c r="I10" s="61">
        <f t="shared" si="10"/>
        <v>4972.068607068607</v>
      </c>
    </row>
    <row r="11" spans="1:9" ht="15.75" customHeight="1" x14ac:dyDescent="0.35">
      <c r="A11" s="58" t="s">
        <v>35</v>
      </c>
      <c r="B11" s="59">
        <v>281</v>
      </c>
      <c r="C11" s="59">
        <v>462</v>
      </c>
      <c r="D11" s="59">
        <v>2061895</v>
      </c>
      <c r="E11" s="59">
        <v>960080</v>
      </c>
      <c r="F11" s="60">
        <f t="shared" si="0"/>
        <v>9.5480801902820253E-2</v>
      </c>
      <c r="G11" s="61">
        <f t="shared" si="1"/>
        <v>7337.7046263345192</v>
      </c>
      <c r="H11" s="62">
        <f t="shared" ref="H11:I11" si="11">C11/B11</f>
        <v>1.6441281138790036</v>
      </c>
      <c r="I11" s="61">
        <f t="shared" si="11"/>
        <v>4462.9761904761908</v>
      </c>
    </row>
    <row r="12" spans="1:9" ht="15.75" customHeight="1" x14ac:dyDescent="0.35">
      <c r="A12" s="58" t="s">
        <v>36</v>
      </c>
      <c r="B12" s="59">
        <v>220</v>
      </c>
      <c r="C12" s="59">
        <v>384</v>
      </c>
      <c r="D12" s="59">
        <v>1826220</v>
      </c>
      <c r="E12" s="59">
        <v>838310</v>
      </c>
      <c r="F12" s="60">
        <f t="shared" si="0"/>
        <v>7.4753652735304113E-2</v>
      </c>
      <c r="G12" s="61">
        <f t="shared" si="1"/>
        <v>8301</v>
      </c>
      <c r="H12" s="62">
        <f t="shared" ref="H12:I12" si="12">C12/B12</f>
        <v>1.7454545454545454</v>
      </c>
      <c r="I12" s="61">
        <f t="shared" si="12"/>
        <v>4755.78125</v>
      </c>
    </row>
    <row r="13" spans="1:9" ht="15.75" customHeight="1" x14ac:dyDescent="0.35">
      <c r="A13" s="58" t="s">
        <v>37</v>
      </c>
      <c r="B13" s="59">
        <v>358</v>
      </c>
      <c r="C13" s="59">
        <v>722</v>
      </c>
      <c r="D13" s="59">
        <v>3652880</v>
      </c>
      <c r="E13" s="59">
        <v>1726835</v>
      </c>
      <c r="F13" s="60">
        <f t="shared" si="0"/>
        <v>0.1216445803601767</v>
      </c>
      <c r="G13" s="61">
        <f t="shared" si="1"/>
        <v>10203.575418994413</v>
      </c>
      <c r="H13" s="62">
        <f t="shared" ref="H13:I13" si="13">C13/B13</f>
        <v>2.016759776536313</v>
      </c>
      <c r="I13" s="61">
        <f t="shared" si="13"/>
        <v>5059.3905817174518</v>
      </c>
    </row>
    <row r="14" spans="1:9" ht="15.75" customHeight="1" x14ac:dyDescent="0.35">
      <c r="A14" s="58" t="s">
        <v>38</v>
      </c>
      <c r="B14" s="59">
        <v>244</v>
      </c>
      <c r="C14" s="59">
        <v>397</v>
      </c>
      <c r="D14" s="59">
        <v>1945185</v>
      </c>
      <c r="E14" s="59">
        <v>908215</v>
      </c>
      <c r="F14" s="60">
        <f t="shared" si="0"/>
        <v>8.290859667006456E-2</v>
      </c>
      <c r="G14" s="61">
        <f t="shared" si="1"/>
        <v>7972.0696721311479</v>
      </c>
      <c r="H14" s="62">
        <f t="shared" ref="H14:I14" si="14">C14/B14</f>
        <v>1.6270491803278688</v>
      </c>
      <c r="I14" s="61">
        <f t="shared" si="14"/>
        <v>4899.7103274559195</v>
      </c>
    </row>
    <row r="15" spans="1:9" ht="15.75" customHeight="1" x14ac:dyDescent="0.35">
      <c r="A15" s="58" t="s">
        <v>39</v>
      </c>
      <c r="B15" s="59">
        <v>236</v>
      </c>
      <c r="C15" s="59">
        <v>390</v>
      </c>
      <c r="D15" s="59">
        <v>1882925</v>
      </c>
      <c r="E15" s="59">
        <v>884840</v>
      </c>
      <c r="F15" s="60">
        <f t="shared" si="0"/>
        <v>8.0190282025144416E-2</v>
      </c>
      <c r="G15" s="61">
        <f t="shared" si="1"/>
        <v>7978.4957627118647</v>
      </c>
      <c r="H15" s="62">
        <f t="shared" ref="H15:I15" si="15">C15/B15</f>
        <v>1.652542372881356</v>
      </c>
      <c r="I15" s="61">
        <f t="shared" si="15"/>
        <v>4828.0128205128203</v>
      </c>
    </row>
    <row r="16" spans="1:9" ht="15.75" customHeight="1" x14ac:dyDescent="0.35">
      <c r="A16" s="58" t="s">
        <v>40</v>
      </c>
      <c r="B16" s="59">
        <v>201</v>
      </c>
      <c r="C16" s="59">
        <v>338</v>
      </c>
      <c r="D16" s="59">
        <v>1504580</v>
      </c>
      <c r="E16" s="59">
        <v>703560</v>
      </c>
      <c r="F16" s="60">
        <f t="shared" si="0"/>
        <v>6.8297655453618752E-2</v>
      </c>
      <c r="G16" s="61">
        <f t="shared" si="1"/>
        <v>7485.4726368159209</v>
      </c>
      <c r="H16" s="62">
        <f t="shared" ref="H16:I16" si="16">C16/B16</f>
        <v>1.6815920398009949</v>
      </c>
      <c r="I16" s="61">
        <f t="shared" si="16"/>
        <v>4451.4201183431951</v>
      </c>
    </row>
    <row r="17" spans="1:9" ht="15.75" customHeight="1" x14ac:dyDescent="0.35">
      <c r="A17" s="58" t="s">
        <v>41</v>
      </c>
      <c r="B17" s="59">
        <v>353</v>
      </c>
      <c r="C17" s="59">
        <v>657</v>
      </c>
      <c r="D17" s="59">
        <v>3447070</v>
      </c>
      <c r="E17" s="59">
        <v>1627065</v>
      </c>
      <c r="F17" s="60">
        <f t="shared" si="0"/>
        <v>0.1199456337071016</v>
      </c>
      <c r="G17" s="61">
        <f t="shared" si="1"/>
        <v>9765.0708215297454</v>
      </c>
      <c r="H17" s="62">
        <f t="shared" ref="H17:I17" si="17">C17/B17</f>
        <v>1.8611898016997168</v>
      </c>
      <c r="I17" s="61">
        <f t="shared" si="17"/>
        <v>5246.681887366819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AD57"/>
  <sheetViews>
    <sheetView workbookViewId="0"/>
  </sheetViews>
  <sheetFormatPr defaultColWidth="12.6328125" defaultRowHeight="15.75" customHeight="1" x14ac:dyDescent="0.25"/>
  <cols>
    <col min="18" max="18" width="15.7265625" customWidth="1"/>
  </cols>
  <sheetData>
    <row r="3" spans="1:30" ht="15.75" customHeight="1" x14ac:dyDescent="0.35">
      <c r="A3" s="63" t="s">
        <v>42</v>
      </c>
      <c r="B3" s="64"/>
      <c r="C3" s="64"/>
      <c r="D3" s="64"/>
      <c r="E3" s="64"/>
      <c r="F3" s="65"/>
      <c r="G3" s="64"/>
      <c r="H3" s="66"/>
      <c r="I3" s="64"/>
      <c r="J3" s="64"/>
      <c r="K3" s="64"/>
      <c r="L3" s="63"/>
      <c r="M3" s="64"/>
      <c r="N3" s="64"/>
      <c r="O3" s="64"/>
      <c r="P3" s="64"/>
      <c r="Q3" s="65"/>
      <c r="R3" s="64"/>
      <c r="S3" s="66"/>
      <c r="T3" s="64"/>
      <c r="V3" s="63"/>
      <c r="W3" s="64"/>
      <c r="X3" s="64"/>
      <c r="Y3" s="64"/>
      <c r="Z3" s="64"/>
      <c r="AA3" s="65"/>
      <c r="AB3" s="67"/>
      <c r="AC3" s="66"/>
      <c r="AD3" s="67"/>
    </row>
    <row r="4" spans="1:30" ht="15.75" customHeight="1" x14ac:dyDescent="0.35">
      <c r="A4" s="68" t="s">
        <v>23</v>
      </c>
      <c r="B4" s="68" t="s">
        <v>1</v>
      </c>
      <c r="C4" s="68" t="s">
        <v>2</v>
      </c>
      <c r="D4" s="68" t="s">
        <v>43</v>
      </c>
      <c r="E4" s="68" t="s">
        <v>44</v>
      </c>
      <c r="F4" s="69" t="s">
        <v>24</v>
      </c>
      <c r="G4" s="70" t="s">
        <v>25</v>
      </c>
      <c r="H4" s="71" t="s">
        <v>14</v>
      </c>
      <c r="I4" s="70" t="s">
        <v>15</v>
      </c>
      <c r="J4" s="64"/>
      <c r="K4" s="68" t="s">
        <v>23</v>
      </c>
      <c r="L4" s="72" t="s">
        <v>42</v>
      </c>
      <c r="M4" s="73" t="s">
        <v>45</v>
      </c>
      <c r="N4" s="74" t="s">
        <v>46</v>
      </c>
      <c r="O4" s="73" t="s">
        <v>42</v>
      </c>
      <c r="P4" s="73" t="s">
        <v>45</v>
      </c>
      <c r="Q4" s="75" t="s">
        <v>46</v>
      </c>
      <c r="R4" s="73" t="s">
        <v>42</v>
      </c>
      <c r="S4" s="74" t="s">
        <v>45</v>
      </c>
      <c r="T4" s="73" t="s">
        <v>46</v>
      </c>
      <c r="U4" s="76" t="s">
        <v>42</v>
      </c>
      <c r="V4" s="73" t="s">
        <v>45</v>
      </c>
      <c r="W4" s="73" t="s">
        <v>46</v>
      </c>
      <c r="X4" s="77"/>
      <c r="Y4" s="77"/>
      <c r="Z4" s="77"/>
      <c r="AA4" s="78"/>
      <c r="AB4" s="79"/>
      <c r="AC4" s="80"/>
      <c r="AD4" s="79"/>
    </row>
    <row r="5" spans="1:30" ht="15.75" customHeight="1" x14ac:dyDescent="0.35">
      <c r="A5" s="73" t="s">
        <v>28</v>
      </c>
      <c r="B5" s="81">
        <v>2842</v>
      </c>
      <c r="C5" s="81">
        <v>3593</v>
      </c>
      <c r="D5" s="81">
        <v>18866045</v>
      </c>
      <c r="E5" s="81">
        <v>9389215</v>
      </c>
      <c r="F5" s="82">
        <f t="shared" ref="F5:F18" si="0">B5/$B$5</f>
        <v>1</v>
      </c>
      <c r="G5" s="83">
        <f t="shared" ref="G5:G18" si="1">D5/B5</f>
        <v>6638.2987332864177</v>
      </c>
      <c r="H5" s="84">
        <f t="shared" ref="H5:I5" si="2">C5/B5</f>
        <v>1.2642505277973257</v>
      </c>
      <c r="I5" s="83">
        <f t="shared" si="2"/>
        <v>5250.7779014750904</v>
      </c>
      <c r="J5" s="64"/>
      <c r="K5" s="73" t="s">
        <v>28</v>
      </c>
      <c r="L5" s="82">
        <f t="shared" ref="L5:L18" si="3">VLOOKUP(K5,A4:I19, 6,0)</f>
        <v>1</v>
      </c>
      <c r="M5" s="85" t="e">
        <f t="shared" ref="M5:M18" ca="1" si="4">_xludf.IFNA(VLOOKUP(K5,A4:I19, 6,0), "")</f>
        <v>#NAME?</v>
      </c>
      <c r="N5" s="85" t="e">
        <f t="shared" ref="N5:N18" ca="1" si="5">_xludf.IFNA(VLOOKUP(K5,A41:I57,6,0),"")</f>
        <v>#NAME?</v>
      </c>
      <c r="O5" s="83" t="e">
        <f t="shared" ref="O5:O18" ca="1" si="6">_xludf.IFNA(VLOOKUP(K5,A3:I19,7,0),"")</f>
        <v>#NAME?</v>
      </c>
      <c r="P5" s="86" t="e">
        <f t="shared" ref="P5:P18" ca="1" si="7">_xludf.IFNA(VLOOKUP(K5,A22:I38,7,0),"")</f>
        <v>#NAME?</v>
      </c>
      <c r="Q5" s="86" t="e">
        <f t="shared" ref="Q5:Q18" ca="1" si="8">_xludf.IFNA(VLOOKUP(K5,A40:I57,7,0),"")</f>
        <v>#NAME?</v>
      </c>
      <c r="R5" s="84" t="e">
        <f t="shared" ref="R5:R18" ca="1" si="9">_xludf.IFNA(VLOOKUP(K5, A3:I19,8,0),"")</f>
        <v>#NAME?</v>
      </c>
      <c r="S5" s="87" t="e">
        <f t="shared" ref="S5:S18" ca="1" si="10">_xludf.IFNA(VLOOKUP(K5,A22:I38,8,0), "")</f>
        <v>#NAME?</v>
      </c>
      <c r="T5" s="87" t="e">
        <f t="shared" ref="T5:T18" ca="1" si="11">_xludf.IFNA(VLOOKUP(K5,A41:I57,8,0), "")</f>
        <v>#NAME?</v>
      </c>
      <c r="U5" s="83" t="e">
        <f t="shared" ref="U5:U18" ca="1" si="12">_xludf.IFNA(VLOOKUP(K5, A3:I19,9,0),"")</f>
        <v>#NAME?</v>
      </c>
      <c r="V5" s="86" t="e">
        <f t="shared" ref="V5:V18" ca="1" si="13">_xludf.IFNA(VLOOKUP(K5,A22:I38,9,0),"")</f>
        <v>#NAME?</v>
      </c>
      <c r="W5" s="86" t="e">
        <f t="shared" ref="W5:W18" ca="1" si="14">_xludf.IFNA(VLOOKUP(K5,A41:I57,9,0),"")</f>
        <v>#NAME?</v>
      </c>
      <c r="X5" s="64"/>
      <c r="Y5" s="88"/>
      <c r="Z5" s="88"/>
      <c r="AA5" s="65"/>
      <c r="AB5" s="67"/>
      <c r="AC5" s="66"/>
      <c r="AD5" s="67"/>
    </row>
    <row r="6" spans="1:30" ht="15.75" customHeight="1" x14ac:dyDescent="0.35">
      <c r="A6" s="73" t="s">
        <v>29</v>
      </c>
      <c r="B6" s="81">
        <v>529</v>
      </c>
      <c r="C6" s="81">
        <v>818</v>
      </c>
      <c r="D6" s="81">
        <v>4377010</v>
      </c>
      <c r="E6" s="81">
        <v>2173325</v>
      </c>
      <c r="F6" s="82">
        <f t="shared" si="0"/>
        <v>0.18613652357494723</v>
      </c>
      <c r="G6" s="83">
        <f t="shared" si="1"/>
        <v>8274.1209829867676</v>
      </c>
      <c r="H6" s="84">
        <f t="shared" ref="H6:I6" si="15">C6/B6</f>
        <v>1.5463137996219283</v>
      </c>
      <c r="I6" s="83">
        <f t="shared" si="15"/>
        <v>5350.867970660147</v>
      </c>
      <c r="J6" s="64"/>
      <c r="K6" s="73" t="s">
        <v>29</v>
      </c>
      <c r="L6" s="82">
        <f t="shared" si="3"/>
        <v>0.18613652357494723</v>
      </c>
      <c r="M6" s="85" t="e">
        <f t="shared" ca="1" si="4"/>
        <v>#NAME?</v>
      </c>
      <c r="N6" s="85" t="e">
        <f t="shared" ca="1" si="5"/>
        <v>#NAME?</v>
      </c>
      <c r="O6" s="83" t="e">
        <f t="shared" ca="1" si="6"/>
        <v>#NAME?</v>
      </c>
      <c r="P6" s="86" t="e">
        <f t="shared" ca="1" si="7"/>
        <v>#NAME?</v>
      </c>
      <c r="Q6" s="86" t="e">
        <f t="shared" ca="1" si="8"/>
        <v>#NAME?</v>
      </c>
      <c r="R6" s="84" t="e">
        <f t="shared" ca="1" si="9"/>
        <v>#NAME?</v>
      </c>
      <c r="S6" s="87" t="e">
        <f t="shared" ca="1" si="10"/>
        <v>#NAME?</v>
      </c>
      <c r="T6" s="87" t="e">
        <f t="shared" ca="1" si="11"/>
        <v>#NAME?</v>
      </c>
      <c r="U6" s="83" t="e">
        <f t="shared" ca="1" si="12"/>
        <v>#NAME?</v>
      </c>
      <c r="V6" s="86" t="e">
        <f t="shared" ca="1" si="13"/>
        <v>#NAME?</v>
      </c>
      <c r="W6" s="86" t="e">
        <f t="shared" ca="1" si="14"/>
        <v>#NAME?</v>
      </c>
      <c r="X6" s="64"/>
      <c r="Y6" s="88"/>
      <c r="Z6" s="88"/>
      <c r="AA6" s="65"/>
      <c r="AB6" s="67"/>
      <c r="AC6" s="66"/>
      <c r="AD6" s="67"/>
    </row>
    <row r="7" spans="1:30" ht="15.75" customHeight="1" x14ac:dyDescent="0.35">
      <c r="A7" s="73" t="s">
        <v>30</v>
      </c>
      <c r="B7" s="81">
        <v>237</v>
      </c>
      <c r="C7" s="81">
        <v>325</v>
      </c>
      <c r="D7" s="81">
        <v>1908940</v>
      </c>
      <c r="E7" s="81">
        <v>942755</v>
      </c>
      <c r="F7" s="82">
        <f t="shared" si="0"/>
        <v>8.3391977480647431E-2</v>
      </c>
      <c r="G7" s="83">
        <f t="shared" si="1"/>
        <v>8054.5991561181436</v>
      </c>
      <c r="H7" s="84">
        <f t="shared" ref="H7:I7" si="16">C7/B7</f>
        <v>1.371308016877637</v>
      </c>
      <c r="I7" s="83">
        <f t="shared" si="16"/>
        <v>5873.6615384615388</v>
      </c>
      <c r="J7" s="64"/>
      <c r="K7" s="73" t="s">
        <v>30</v>
      </c>
      <c r="L7" s="82">
        <f t="shared" si="3"/>
        <v>8.3391977480647431E-2</v>
      </c>
      <c r="M7" s="85" t="e">
        <f t="shared" ca="1" si="4"/>
        <v>#NAME?</v>
      </c>
      <c r="N7" s="85" t="e">
        <f t="shared" ca="1" si="5"/>
        <v>#NAME?</v>
      </c>
      <c r="O7" s="83" t="e">
        <f t="shared" ca="1" si="6"/>
        <v>#NAME?</v>
      </c>
      <c r="P7" s="86" t="e">
        <f t="shared" ca="1" si="7"/>
        <v>#NAME?</v>
      </c>
      <c r="Q7" s="86" t="e">
        <f t="shared" ca="1" si="8"/>
        <v>#NAME?</v>
      </c>
      <c r="R7" s="84" t="e">
        <f t="shared" ca="1" si="9"/>
        <v>#NAME?</v>
      </c>
      <c r="S7" s="87" t="e">
        <f t="shared" ca="1" si="10"/>
        <v>#NAME?</v>
      </c>
      <c r="T7" s="87" t="e">
        <f t="shared" ca="1" si="11"/>
        <v>#NAME?</v>
      </c>
      <c r="U7" s="83" t="e">
        <f t="shared" ca="1" si="12"/>
        <v>#NAME?</v>
      </c>
      <c r="V7" s="86" t="e">
        <f t="shared" ca="1" si="13"/>
        <v>#NAME?</v>
      </c>
      <c r="W7" s="86" t="e">
        <f t="shared" ca="1" si="14"/>
        <v>#NAME?</v>
      </c>
      <c r="X7" s="64"/>
      <c r="Y7" s="88"/>
      <c r="Z7" s="88"/>
      <c r="AA7" s="65"/>
      <c r="AB7" s="67"/>
      <c r="AC7" s="66"/>
      <c r="AD7" s="67"/>
    </row>
    <row r="8" spans="1:30" ht="15.75" customHeight="1" x14ac:dyDescent="0.35">
      <c r="A8" s="73" t="s">
        <v>31</v>
      </c>
      <c r="B8" s="81">
        <v>318</v>
      </c>
      <c r="C8" s="81">
        <v>467</v>
      </c>
      <c r="D8" s="81">
        <v>2357300</v>
      </c>
      <c r="E8" s="81">
        <v>1154450</v>
      </c>
      <c r="F8" s="82">
        <f t="shared" si="0"/>
        <v>0.11189303307529909</v>
      </c>
      <c r="G8" s="83">
        <f t="shared" si="1"/>
        <v>7412.8930817610062</v>
      </c>
      <c r="H8" s="84">
        <f t="shared" ref="H8:I8" si="17">C8/B8</f>
        <v>1.4685534591194969</v>
      </c>
      <c r="I8" s="83">
        <f t="shared" si="17"/>
        <v>5047.751605995717</v>
      </c>
      <c r="J8" s="64"/>
      <c r="K8" s="73" t="s">
        <v>31</v>
      </c>
      <c r="L8" s="82">
        <f t="shared" si="3"/>
        <v>0.11189303307529909</v>
      </c>
      <c r="M8" s="85" t="e">
        <f t="shared" ca="1" si="4"/>
        <v>#NAME?</v>
      </c>
      <c r="N8" s="85" t="e">
        <f t="shared" ca="1" si="5"/>
        <v>#NAME?</v>
      </c>
      <c r="O8" s="83" t="e">
        <f t="shared" ca="1" si="6"/>
        <v>#NAME?</v>
      </c>
      <c r="P8" s="86" t="e">
        <f t="shared" ca="1" si="7"/>
        <v>#NAME?</v>
      </c>
      <c r="Q8" s="86" t="e">
        <f t="shared" ca="1" si="8"/>
        <v>#NAME?</v>
      </c>
      <c r="R8" s="84" t="e">
        <f t="shared" ca="1" si="9"/>
        <v>#NAME?</v>
      </c>
      <c r="S8" s="87" t="e">
        <f t="shared" ca="1" si="10"/>
        <v>#NAME?</v>
      </c>
      <c r="T8" s="87" t="e">
        <f t="shared" ca="1" si="11"/>
        <v>#NAME?</v>
      </c>
      <c r="U8" s="83" t="e">
        <f t="shared" ca="1" si="12"/>
        <v>#NAME?</v>
      </c>
      <c r="V8" s="86" t="e">
        <f t="shared" ca="1" si="13"/>
        <v>#NAME?</v>
      </c>
      <c r="W8" s="86" t="e">
        <f t="shared" ca="1" si="14"/>
        <v>#NAME?</v>
      </c>
      <c r="X8" s="64"/>
      <c r="Y8" s="88"/>
      <c r="Z8" s="88"/>
      <c r="AA8" s="65"/>
      <c r="AB8" s="67"/>
      <c r="AC8" s="66"/>
      <c r="AD8" s="67"/>
    </row>
    <row r="9" spans="1:30" ht="15.75" customHeight="1" x14ac:dyDescent="0.35">
      <c r="A9" s="73" t="s">
        <v>32</v>
      </c>
      <c r="B9" s="81">
        <v>317</v>
      </c>
      <c r="C9" s="81">
        <v>468</v>
      </c>
      <c r="D9" s="81">
        <v>2213530</v>
      </c>
      <c r="E9" s="81">
        <v>1063370</v>
      </c>
      <c r="F9" s="82">
        <f t="shared" si="0"/>
        <v>0.11154116819141449</v>
      </c>
      <c r="G9" s="83">
        <f t="shared" si="1"/>
        <v>6982.744479495268</v>
      </c>
      <c r="H9" s="84">
        <f t="shared" ref="H9:I9" si="18">C9/B9</f>
        <v>1.4763406940063091</v>
      </c>
      <c r="I9" s="83">
        <f t="shared" si="18"/>
        <v>4729.764957264957</v>
      </c>
      <c r="J9" s="64"/>
      <c r="K9" s="73" t="s">
        <v>32</v>
      </c>
      <c r="L9" s="82">
        <f t="shared" si="3"/>
        <v>0.11154116819141449</v>
      </c>
      <c r="M9" s="85" t="e">
        <f t="shared" ca="1" si="4"/>
        <v>#NAME?</v>
      </c>
      <c r="N9" s="85" t="e">
        <f t="shared" ca="1" si="5"/>
        <v>#NAME?</v>
      </c>
      <c r="O9" s="83" t="e">
        <f t="shared" ca="1" si="6"/>
        <v>#NAME?</v>
      </c>
      <c r="P9" s="86" t="e">
        <f t="shared" ca="1" si="7"/>
        <v>#NAME?</v>
      </c>
      <c r="Q9" s="86" t="e">
        <f t="shared" ca="1" si="8"/>
        <v>#NAME?</v>
      </c>
      <c r="R9" s="84" t="e">
        <f t="shared" ca="1" si="9"/>
        <v>#NAME?</v>
      </c>
      <c r="S9" s="87" t="e">
        <f t="shared" ca="1" si="10"/>
        <v>#NAME?</v>
      </c>
      <c r="T9" s="87" t="e">
        <f t="shared" ca="1" si="11"/>
        <v>#NAME?</v>
      </c>
      <c r="U9" s="83" t="e">
        <f t="shared" ca="1" si="12"/>
        <v>#NAME?</v>
      </c>
      <c r="V9" s="86" t="e">
        <f t="shared" ca="1" si="13"/>
        <v>#NAME?</v>
      </c>
      <c r="W9" s="86" t="e">
        <f t="shared" ca="1" si="14"/>
        <v>#NAME?</v>
      </c>
      <c r="X9" s="64"/>
      <c r="Y9" s="88"/>
      <c r="Z9" s="88"/>
      <c r="AA9" s="65"/>
      <c r="AB9" s="67"/>
      <c r="AC9" s="66"/>
      <c r="AD9" s="67"/>
    </row>
    <row r="10" spans="1:30" ht="15.75" customHeight="1" x14ac:dyDescent="0.35">
      <c r="A10" s="73" t="s">
        <v>33</v>
      </c>
      <c r="B10" s="81">
        <v>366</v>
      </c>
      <c r="C10" s="81">
        <v>615</v>
      </c>
      <c r="D10" s="81">
        <v>3017685</v>
      </c>
      <c r="E10" s="81">
        <v>1435610</v>
      </c>
      <c r="F10" s="82">
        <f t="shared" si="0"/>
        <v>0.12878254750175933</v>
      </c>
      <c r="G10" s="83">
        <f t="shared" si="1"/>
        <v>8245.0409836065573</v>
      </c>
      <c r="H10" s="84">
        <f t="shared" ref="H10:I10" si="19">C10/B10</f>
        <v>1.680327868852459</v>
      </c>
      <c r="I10" s="83">
        <f t="shared" si="19"/>
        <v>4906.8048780487807</v>
      </c>
      <c r="J10" s="64"/>
      <c r="K10" s="73" t="s">
        <v>33</v>
      </c>
      <c r="L10" s="82">
        <f t="shared" si="3"/>
        <v>0.12878254750175933</v>
      </c>
      <c r="M10" s="85" t="e">
        <f t="shared" ca="1" si="4"/>
        <v>#NAME?</v>
      </c>
      <c r="N10" s="85" t="e">
        <f t="shared" ca="1" si="5"/>
        <v>#NAME?</v>
      </c>
      <c r="O10" s="83" t="e">
        <f t="shared" ca="1" si="6"/>
        <v>#NAME?</v>
      </c>
      <c r="P10" s="86" t="e">
        <f t="shared" ca="1" si="7"/>
        <v>#NAME?</v>
      </c>
      <c r="Q10" s="86" t="e">
        <f t="shared" ca="1" si="8"/>
        <v>#NAME?</v>
      </c>
      <c r="R10" s="84" t="e">
        <f t="shared" ca="1" si="9"/>
        <v>#NAME?</v>
      </c>
      <c r="S10" s="87" t="e">
        <f t="shared" ca="1" si="10"/>
        <v>#NAME?</v>
      </c>
      <c r="T10" s="87" t="e">
        <f t="shared" ca="1" si="11"/>
        <v>#NAME?</v>
      </c>
      <c r="U10" s="83" t="e">
        <f t="shared" ca="1" si="12"/>
        <v>#NAME?</v>
      </c>
      <c r="V10" s="86" t="e">
        <f t="shared" ca="1" si="13"/>
        <v>#NAME?</v>
      </c>
      <c r="W10" s="86" t="e">
        <f t="shared" ca="1" si="14"/>
        <v>#NAME?</v>
      </c>
      <c r="X10" s="88"/>
      <c r="Y10" s="88"/>
      <c r="Z10" s="88"/>
      <c r="AA10" s="89"/>
      <c r="AB10" s="90"/>
      <c r="AC10" s="91"/>
      <c r="AD10" s="90"/>
    </row>
    <row r="11" spans="1:30" ht="15.75" customHeight="1" x14ac:dyDescent="0.35">
      <c r="A11" s="73" t="s">
        <v>34</v>
      </c>
      <c r="B11" s="81">
        <v>234</v>
      </c>
      <c r="C11" s="81">
        <v>339</v>
      </c>
      <c r="D11" s="81">
        <v>1575365</v>
      </c>
      <c r="E11" s="81">
        <v>740795</v>
      </c>
      <c r="F11" s="82">
        <f t="shared" si="0"/>
        <v>8.2336382828993665E-2</v>
      </c>
      <c r="G11" s="83">
        <f t="shared" si="1"/>
        <v>6732.3290598290596</v>
      </c>
      <c r="H11" s="84">
        <f t="shared" ref="H11:I11" si="20">C11/B11</f>
        <v>1.4487179487179487</v>
      </c>
      <c r="I11" s="83">
        <f t="shared" si="20"/>
        <v>4647.0943952802363</v>
      </c>
      <c r="J11" s="64"/>
      <c r="K11" s="73" t="s">
        <v>34</v>
      </c>
      <c r="L11" s="82">
        <f t="shared" si="3"/>
        <v>8.2336382828993665E-2</v>
      </c>
      <c r="M11" s="85" t="e">
        <f t="shared" ca="1" si="4"/>
        <v>#NAME?</v>
      </c>
      <c r="N11" s="85" t="e">
        <f t="shared" ca="1" si="5"/>
        <v>#NAME?</v>
      </c>
      <c r="O11" s="83" t="e">
        <f t="shared" ca="1" si="6"/>
        <v>#NAME?</v>
      </c>
      <c r="P11" s="86" t="e">
        <f t="shared" ca="1" si="7"/>
        <v>#NAME?</v>
      </c>
      <c r="Q11" s="86" t="e">
        <f t="shared" ca="1" si="8"/>
        <v>#NAME?</v>
      </c>
      <c r="R11" s="84" t="e">
        <f t="shared" ca="1" si="9"/>
        <v>#NAME?</v>
      </c>
      <c r="S11" s="87" t="e">
        <f t="shared" ca="1" si="10"/>
        <v>#NAME?</v>
      </c>
      <c r="T11" s="87" t="e">
        <f t="shared" ca="1" si="11"/>
        <v>#NAME?</v>
      </c>
      <c r="U11" s="83" t="e">
        <f t="shared" ca="1" si="12"/>
        <v>#NAME?</v>
      </c>
      <c r="V11" s="86" t="e">
        <f t="shared" ca="1" si="13"/>
        <v>#NAME?</v>
      </c>
      <c r="W11" s="86" t="e">
        <f t="shared" ca="1" si="14"/>
        <v>#NAME?</v>
      </c>
      <c r="X11" s="88"/>
      <c r="Y11" s="88"/>
      <c r="Z11" s="88"/>
      <c r="AA11" s="89"/>
      <c r="AB11" s="90"/>
      <c r="AC11" s="91"/>
      <c r="AD11" s="90"/>
    </row>
    <row r="12" spans="1:30" ht="15.75" customHeight="1" x14ac:dyDescent="0.35">
      <c r="A12" s="73" t="s">
        <v>35</v>
      </c>
      <c r="B12" s="81">
        <v>254</v>
      </c>
      <c r="C12" s="81">
        <v>408</v>
      </c>
      <c r="D12" s="81">
        <v>1804770</v>
      </c>
      <c r="E12" s="81">
        <v>868560</v>
      </c>
      <c r="F12" s="82">
        <f t="shared" si="0"/>
        <v>8.9373680506685427E-2</v>
      </c>
      <c r="G12" s="83">
        <f t="shared" si="1"/>
        <v>7105.3937007874019</v>
      </c>
      <c r="H12" s="84">
        <f t="shared" ref="H12:I12" si="21">C12/B12</f>
        <v>1.6062992125984252</v>
      </c>
      <c r="I12" s="83">
        <f t="shared" si="21"/>
        <v>4423.4558823529414</v>
      </c>
      <c r="J12" s="64"/>
      <c r="K12" s="73" t="s">
        <v>35</v>
      </c>
      <c r="L12" s="82">
        <f t="shared" si="3"/>
        <v>8.9373680506685427E-2</v>
      </c>
      <c r="M12" s="85" t="e">
        <f t="shared" ca="1" si="4"/>
        <v>#NAME?</v>
      </c>
      <c r="N12" s="85" t="e">
        <f t="shared" ca="1" si="5"/>
        <v>#NAME?</v>
      </c>
      <c r="O12" s="83" t="e">
        <f t="shared" ca="1" si="6"/>
        <v>#NAME?</v>
      </c>
      <c r="P12" s="86" t="e">
        <f t="shared" ca="1" si="7"/>
        <v>#NAME?</v>
      </c>
      <c r="Q12" s="86" t="e">
        <f t="shared" ca="1" si="8"/>
        <v>#NAME?</v>
      </c>
      <c r="R12" s="84" t="e">
        <f t="shared" ca="1" si="9"/>
        <v>#NAME?</v>
      </c>
      <c r="S12" s="87" t="e">
        <f t="shared" ca="1" si="10"/>
        <v>#NAME?</v>
      </c>
      <c r="T12" s="87" t="e">
        <f t="shared" ca="1" si="11"/>
        <v>#NAME?</v>
      </c>
      <c r="U12" s="83" t="e">
        <f t="shared" ca="1" si="12"/>
        <v>#NAME?</v>
      </c>
      <c r="V12" s="86" t="e">
        <f t="shared" ca="1" si="13"/>
        <v>#NAME?</v>
      </c>
      <c r="W12" s="86" t="e">
        <f t="shared" ca="1" si="14"/>
        <v>#NAME?</v>
      </c>
      <c r="X12" s="88"/>
      <c r="Y12" s="88"/>
      <c r="Z12" s="88"/>
      <c r="AA12" s="89"/>
      <c r="AB12" s="90"/>
      <c r="AC12" s="91"/>
      <c r="AD12" s="90"/>
    </row>
    <row r="13" spans="1:30" ht="15.75" customHeight="1" x14ac:dyDescent="0.35">
      <c r="A13" s="73" t="s">
        <v>36</v>
      </c>
      <c r="B13" s="81">
        <v>269</v>
      </c>
      <c r="C13" s="81">
        <v>385</v>
      </c>
      <c r="D13" s="81">
        <v>1582735</v>
      </c>
      <c r="E13" s="81">
        <v>742940</v>
      </c>
      <c r="F13" s="82">
        <f t="shared" si="0"/>
        <v>9.4651653764954255E-2</v>
      </c>
      <c r="G13" s="83">
        <f t="shared" si="1"/>
        <v>5883.7732342007439</v>
      </c>
      <c r="H13" s="84">
        <f t="shared" ref="H13:I13" si="22">C13/B13</f>
        <v>1.4312267657992566</v>
      </c>
      <c r="I13" s="83">
        <f t="shared" si="22"/>
        <v>4111</v>
      </c>
      <c r="J13" s="64"/>
      <c r="K13" s="73" t="s">
        <v>36</v>
      </c>
      <c r="L13" s="82">
        <f t="shared" si="3"/>
        <v>9.4651653764954255E-2</v>
      </c>
      <c r="M13" s="85" t="e">
        <f t="shared" ca="1" si="4"/>
        <v>#NAME?</v>
      </c>
      <c r="N13" s="85" t="e">
        <f t="shared" ca="1" si="5"/>
        <v>#NAME?</v>
      </c>
      <c r="O13" s="83" t="e">
        <f t="shared" ca="1" si="6"/>
        <v>#NAME?</v>
      </c>
      <c r="P13" s="86" t="e">
        <f t="shared" ca="1" si="7"/>
        <v>#NAME?</v>
      </c>
      <c r="Q13" s="86" t="e">
        <f t="shared" ca="1" si="8"/>
        <v>#NAME?</v>
      </c>
      <c r="R13" s="84" t="e">
        <f t="shared" ca="1" si="9"/>
        <v>#NAME?</v>
      </c>
      <c r="S13" s="87" t="e">
        <f t="shared" ca="1" si="10"/>
        <v>#NAME?</v>
      </c>
      <c r="T13" s="87" t="e">
        <f t="shared" ca="1" si="11"/>
        <v>#NAME?</v>
      </c>
      <c r="U13" s="83" t="e">
        <f t="shared" ca="1" si="12"/>
        <v>#NAME?</v>
      </c>
      <c r="V13" s="86" t="e">
        <f t="shared" ca="1" si="13"/>
        <v>#NAME?</v>
      </c>
      <c r="W13" s="86" t="e">
        <f t="shared" ca="1" si="14"/>
        <v>#NAME?</v>
      </c>
      <c r="X13" s="88"/>
      <c r="Y13" s="88"/>
      <c r="Z13" s="88"/>
      <c r="AA13" s="89"/>
      <c r="AB13" s="90"/>
      <c r="AC13" s="91"/>
      <c r="AD13" s="90"/>
    </row>
    <row r="14" spans="1:30" ht="15.75" customHeight="1" x14ac:dyDescent="0.35">
      <c r="A14" s="73" t="s">
        <v>37</v>
      </c>
      <c r="B14" s="81">
        <v>358</v>
      </c>
      <c r="C14" s="81">
        <v>625</v>
      </c>
      <c r="D14" s="81">
        <v>3222065</v>
      </c>
      <c r="E14" s="81">
        <v>1519155</v>
      </c>
      <c r="F14" s="82">
        <f t="shared" si="0"/>
        <v>0.12596762843068263</v>
      </c>
      <c r="G14" s="83">
        <f t="shared" si="1"/>
        <v>9000.1815642458096</v>
      </c>
      <c r="H14" s="84">
        <f t="shared" ref="H14:I14" si="23">C14/B14</f>
        <v>1.7458100558659218</v>
      </c>
      <c r="I14" s="83">
        <f t="shared" si="23"/>
        <v>5155.3040000000001</v>
      </c>
      <c r="J14" s="64"/>
      <c r="K14" s="73" t="s">
        <v>37</v>
      </c>
      <c r="L14" s="82">
        <f t="shared" si="3"/>
        <v>0.12596762843068263</v>
      </c>
      <c r="M14" s="85" t="e">
        <f t="shared" ca="1" si="4"/>
        <v>#NAME?</v>
      </c>
      <c r="N14" s="85" t="e">
        <f t="shared" ca="1" si="5"/>
        <v>#NAME?</v>
      </c>
      <c r="O14" s="83" t="e">
        <f t="shared" ca="1" si="6"/>
        <v>#NAME?</v>
      </c>
      <c r="P14" s="86" t="e">
        <f t="shared" ca="1" si="7"/>
        <v>#NAME?</v>
      </c>
      <c r="Q14" s="86" t="e">
        <f t="shared" ca="1" si="8"/>
        <v>#NAME?</v>
      </c>
      <c r="R14" s="84" t="e">
        <f t="shared" ca="1" si="9"/>
        <v>#NAME?</v>
      </c>
      <c r="S14" s="87" t="e">
        <f t="shared" ca="1" si="10"/>
        <v>#NAME?</v>
      </c>
      <c r="T14" s="87" t="e">
        <f t="shared" ca="1" si="11"/>
        <v>#NAME?</v>
      </c>
      <c r="U14" s="83" t="e">
        <f t="shared" ca="1" si="12"/>
        <v>#NAME?</v>
      </c>
      <c r="V14" s="86" t="e">
        <f t="shared" ca="1" si="13"/>
        <v>#NAME?</v>
      </c>
      <c r="W14" s="86" t="e">
        <f t="shared" ca="1" si="14"/>
        <v>#NAME?</v>
      </c>
      <c r="X14" s="88"/>
      <c r="Y14" s="88"/>
      <c r="Z14" s="88"/>
      <c r="AA14" s="89"/>
      <c r="AB14" s="90"/>
      <c r="AC14" s="91"/>
      <c r="AD14" s="90"/>
    </row>
    <row r="15" spans="1:30" ht="15.75" customHeight="1" x14ac:dyDescent="0.35">
      <c r="A15" s="73" t="s">
        <v>38</v>
      </c>
      <c r="B15" s="81">
        <v>220</v>
      </c>
      <c r="C15" s="81">
        <v>323</v>
      </c>
      <c r="D15" s="81">
        <v>1638945</v>
      </c>
      <c r="E15" s="81">
        <v>766755</v>
      </c>
      <c r="F15" s="82">
        <f t="shared" si="0"/>
        <v>7.7410274454609435E-2</v>
      </c>
      <c r="G15" s="83">
        <f t="shared" si="1"/>
        <v>7449.75</v>
      </c>
      <c r="H15" s="84">
        <f t="shared" ref="H15:I15" si="24">C15/B15</f>
        <v>1.4681818181818183</v>
      </c>
      <c r="I15" s="83">
        <f t="shared" si="24"/>
        <v>5074.1331269349848</v>
      </c>
      <c r="J15" s="64"/>
      <c r="K15" s="73" t="s">
        <v>38</v>
      </c>
      <c r="L15" s="82">
        <f t="shared" si="3"/>
        <v>7.7410274454609435E-2</v>
      </c>
      <c r="M15" s="85" t="e">
        <f t="shared" ca="1" si="4"/>
        <v>#NAME?</v>
      </c>
      <c r="N15" s="85" t="e">
        <f t="shared" ca="1" si="5"/>
        <v>#NAME?</v>
      </c>
      <c r="O15" s="83" t="e">
        <f t="shared" ca="1" si="6"/>
        <v>#NAME?</v>
      </c>
      <c r="P15" s="86" t="e">
        <f t="shared" ca="1" si="7"/>
        <v>#NAME?</v>
      </c>
      <c r="Q15" s="86" t="e">
        <f t="shared" ca="1" si="8"/>
        <v>#NAME?</v>
      </c>
      <c r="R15" s="84" t="e">
        <f t="shared" ca="1" si="9"/>
        <v>#NAME?</v>
      </c>
      <c r="S15" s="87" t="e">
        <f t="shared" ca="1" si="10"/>
        <v>#NAME?</v>
      </c>
      <c r="T15" s="87" t="e">
        <f t="shared" ca="1" si="11"/>
        <v>#NAME?</v>
      </c>
      <c r="U15" s="83" t="e">
        <f t="shared" ca="1" si="12"/>
        <v>#NAME?</v>
      </c>
      <c r="V15" s="86" t="e">
        <f t="shared" ca="1" si="13"/>
        <v>#NAME?</v>
      </c>
      <c r="W15" s="86" t="e">
        <f t="shared" ca="1" si="14"/>
        <v>#NAME?</v>
      </c>
      <c r="X15" s="88"/>
      <c r="Y15" s="88"/>
      <c r="Z15" s="88"/>
      <c r="AA15" s="89"/>
      <c r="AB15" s="90"/>
      <c r="AC15" s="91"/>
      <c r="AD15" s="90"/>
    </row>
    <row r="16" spans="1:30" ht="15.75" customHeight="1" x14ac:dyDescent="0.35">
      <c r="A16" s="73" t="s">
        <v>39</v>
      </c>
      <c r="B16" s="81">
        <v>224</v>
      </c>
      <c r="C16" s="81">
        <v>338</v>
      </c>
      <c r="D16" s="81">
        <v>1742675</v>
      </c>
      <c r="E16" s="81">
        <v>828905</v>
      </c>
      <c r="F16" s="82">
        <f t="shared" si="0"/>
        <v>7.8817733990147784E-2</v>
      </c>
      <c r="G16" s="83">
        <f t="shared" si="1"/>
        <v>7779.7991071428569</v>
      </c>
      <c r="H16" s="84">
        <f t="shared" ref="H16:I16" si="25">C16/B16</f>
        <v>1.5089285714285714</v>
      </c>
      <c r="I16" s="83">
        <f t="shared" si="25"/>
        <v>5155.8431952662722</v>
      </c>
      <c r="J16" s="64"/>
      <c r="K16" s="73" t="s">
        <v>39</v>
      </c>
      <c r="L16" s="82">
        <f t="shared" si="3"/>
        <v>7.8817733990147784E-2</v>
      </c>
      <c r="M16" s="85" t="e">
        <f t="shared" ca="1" si="4"/>
        <v>#NAME?</v>
      </c>
      <c r="N16" s="85" t="e">
        <f t="shared" ca="1" si="5"/>
        <v>#NAME?</v>
      </c>
      <c r="O16" s="83" t="e">
        <f t="shared" ca="1" si="6"/>
        <v>#NAME?</v>
      </c>
      <c r="P16" s="86" t="e">
        <f t="shared" ca="1" si="7"/>
        <v>#NAME?</v>
      </c>
      <c r="Q16" s="86" t="e">
        <f t="shared" ca="1" si="8"/>
        <v>#NAME?</v>
      </c>
      <c r="R16" s="84" t="e">
        <f t="shared" ca="1" si="9"/>
        <v>#NAME?</v>
      </c>
      <c r="S16" s="87" t="e">
        <f t="shared" ca="1" si="10"/>
        <v>#NAME?</v>
      </c>
      <c r="T16" s="87" t="e">
        <f t="shared" ca="1" si="11"/>
        <v>#NAME?</v>
      </c>
      <c r="U16" s="83" t="e">
        <f t="shared" ca="1" si="12"/>
        <v>#NAME?</v>
      </c>
      <c r="V16" s="86" t="e">
        <f t="shared" ca="1" si="13"/>
        <v>#NAME?</v>
      </c>
      <c r="W16" s="86" t="e">
        <f t="shared" ca="1" si="14"/>
        <v>#NAME?</v>
      </c>
      <c r="X16" s="88"/>
      <c r="Y16" s="88"/>
      <c r="Z16" s="88"/>
      <c r="AA16" s="89"/>
      <c r="AB16" s="90"/>
      <c r="AC16" s="91"/>
      <c r="AD16" s="90"/>
    </row>
    <row r="17" spans="1:30" ht="15.75" customHeight="1" x14ac:dyDescent="0.35">
      <c r="A17" s="73" t="s">
        <v>40</v>
      </c>
      <c r="B17" s="81">
        <v>230</v>
      </c>
      <c r="C17" s="81">
        <v>349</v>
      </c>
      <c r="D17" s="81">
        <v>1446720</v>
      </c>
      <c r="E17" s="81">
        <v>692780</v>
      </c>
      <c r="F17" s="82">
        <f t="shared" si="0"/>
        <v>8.0928923293455315E-2</v>
      </c>
      <c r="G17" s="83">
        <f t="shared" si="1"/>
        <v>6290.086956521739</v>
      </c>
      <c r="H17" s="84">
        <f t="shared" ref="H17:I17" si="26">C17/B17</f>
        <v>1.517391304347826</v>
      </c>
      <c r="I17" s="83">
        <f t="shared" si="26"/>
        <v>4145.3295128939826</v>
      </c>
      <c r="J17" s="64"/>
      <c r="K17" s="73" t="s">
        <v>40</v>
      </c>
      <c r="L17" s="82">
        <f t="shared" si="3"/>
        <v>8.0928923293455315E-2</v>
      </c>
      <c r="M17" s="85" t="e">
        <f t="shared" ca="1" si="4"/>
        <v>#NAME?</v>
      </c>
      <c r="N17" s="85" t="e">
        <f t="shared" ca="1" si="5"/>
        <v>#NAME?</v>
      </c>
      <c r="O17" s="83" t="e">
        <f t="shared" ca="1" si="6"/>
        <v>#NAME?</v>
      </c>
      <c r="P17" s="86" t="e">
        <f t="shared" ca="1" si="7"/>
        <v>#NAME?</v>
      </c>
      <c r="Q17" s="86" t="e">
        <f t="shared" ca="1" si="8"/>
        <v>#NAME?</v>
      </c>
      <c r="R17" s="84" t="e">
        <f t="shared" ca="1" si="9"/>
        <v>#NAME?</v>
      </c>
      <c r="S17" s="87" t="e">
        <f t="shared" ca="1" si="10"/>
        <v>#NAME?</v>
      </c>
      <c r="T17" s="87" t="e">
        <f t="shared" ca="1" si="11"/>
        <v>#NAME?</v>
      </c>
      <c r="U17" s="83" t="e">
        <f t="shared" ca="1" si="12"/>
        <v>#NAME?</v>
      </c>
      <c r="V17" s="86" t="e">
        <f t="shared" ca="1" si="13"/>
        <v>#NAME?</v>
      </c>
      <c r="W17" s="86" t="e">
        <f t="shared" ca="1" si="14"/>
        <v>#NAME?</v>
      </c>
      <c r="X17" s="88"/>
      <c r="Y17" s="88"/>
      <c r="Z17" s="88"/>
      <c r="AA17" s="89"/>
      <c r="AB17" s="90"/>
      <c r="AC17" s="91"/>
      <c r="AD17" s="90"/>
    </row>
    <row r="18" spans="1:30" ht="15.75" customHeight="1" x14ac:dyDescent="0.35">
      <c r="A18" s="73" t="s">
        <v>41</v>
      </c>
      <c r="B18" s="81">
        <v>311</v>
      </c>
      <c r="C18" s="81">
        <v>523</v>
      </c>
      <c r="D18" s="81">
        <v>2693735</v>
      </c>
      <c r="E18" s="81">
        <v>1293325</v>
      </c>
      <c r="F18" s="82">
        <f t="shared" si="0"/>
        <v>0.10942997888810696</v>
      </c>
      <c r="G18" s="83">
        <f t="shared" si="1"/>
        <v>8661.5273311897108</v>
      </c>
      <c r="H18" s="84">
        <f t="shared" ref="H18:I18" si="27">C18/B18</f>
        <v>1.6816720257234727</v>
      </c>
      <c r="I18" s="83">
        <f t="shared" si="27"/>
        <v>5150.544933078394</v>
      </c>
      <c r="J18" s="64"/>
      <c r="K18" s="73" t="s">
        <v>41</v>
      </c>
      <c r="L18" s="82">
        <f t="shared" si="3"/>
        <v>0.10942997888810696</v>
      </c>
      <c r="M18" s="85" t="e">
        <f t="shared" ca="1" si="4"/>
        <v>#NAME?</v>
      </c>
      <c r="N18" s="85" t="e">
        <f t="shared" ca="1" si="5"/>
        <v>#NAME?</v>
      </c>
      <c r="O18" s="83" t="e">
        <f t="shared" ca="1" si="6"/>
        <v>#NAME?</v>
      </c>
      <c r="P18" s="86" t="e">
        <f t="shared" ca="1" si="7"/>
        <v>#NAME?</v>
      </c>
      <c r="Q18" s="86" t="e">
        <f t="shared" ca="1" si="8"/>
        <v>#NAME?</v>
      </c>
      <c r="R18" s="84" t="e">
        <f t="shared" ca="1" si="9"/>
        <v>#NAME?</v>
      </c>
      <c r="S18" s="87" t="e">
        <f t="shared" ca="1" si="10"/>
        <v>#NAME?</v>
      </c>
      <c r="T18" s="87" t="e">
        <f t="shared" ca="1" si="11"/>
        <v>#NAME?</v>
      </c>
      <c r="U18" s="83" t="e">
        <f t="shared" ca="1" si="12"/>
        <v>#NAME?</v>
      </c>
      <c r="V18" s="86" t="e">
        <f t="shared" ca="1" si="13"/>
        <v>#NAME?</v>
      </c>
      <c r="W18" s="86" t="e">
        <f t="shared" ca="1" si="14"/>
        <v>#NAME?</v>
      </c>
      <c r="X18" s="88"/>
      <c r="Y18" s="88"/>
      <c r="Z18" s="88"/>
      <c r="AA18" s="89"/>
      <c r="AB18" s="90"/>
      <c r="AC18" s="91"/>
      <c r="AD18" s="90"/>
    </row>
    <row r="19" spans="1:30" x14ac:dyDescent="0.3">
      <c r="A19" s="92"/>
      <c r="B19" s="86"/>
      <c r="C19" s="83">
        <f t="shared" ref="C19:E19" si="28">STDEV(C4:C18)/AVERAGE(C4:C18)</f>
        <v>1.2421203478290033</v>
      </c>
      <c r="D19" s="83">
        <f t="shared" si="28"/>
        <v>1.303056808722453</v>
      </c>
      <c r="E19" s="83">
        <f t="shared" si="28"/>
        <v>1.3365916087627037</v>
      </c>
      <c r="F19" s="85"/>
      <c r="G19" s="86"/>
      <c r="H19" s="87"/>
      <c r="I19" s="86"/>
      <c r="J19" s="64"/>
      <c r="K19" s="64"/>
      <c r="L19" s="64"/>
      <c r="M19" s="64"/>
      <c r="N19" s="93"/>
      <c r="O19" s="93"/>
      <c r="P19" s="93"/>
      <c r="Q19" s="65"/>
      <c r="R19" s="64"/>
      <c r="S19" s="66"/>
      <c r="T19" s="64"/>
      <c r="V19" s="64"/>
      <c r="W19" s="64"/>
      <c r="X19" s="93"/>
      <c r="Y19" s="93"/>
      <c r="Z19" s="93"/>
      <c r="AA19" s="65"/>
      <c r="AB19" s="67"/>
      <c r="AC19" s="66"/>
      <c r="AD19" s="67"/>
    </row>
    <row r="20" spans="1:30" x14ac:dyDescent="0.3">
      <c r="A20" s="94"/>
    </row>
    <row r="21" spans="1:30" x14ac:dyDescent="0.3">
      <c r="A21" s="94"/>
    </row>
    <row r="22" spans="1:30" ht="15.75" customHeight="1" x14ac:dyDescent="0.35">
      <c r="A22" s="63" t="s">
        <v>45</v>
      </c>
      <c r="B22" s="64"/>
      <c r="C22" s="64"/>
      <c r="D22" s="64"/>
      <c r="E22" s="64"/>
      <c r="F22" s="65"/>
      <c r="G22" s="64"/>
      <c r="H22" s="66"/>
      <c r="I22" s="64"/>
    </row>
    <row r="23" spans="1:30" ht="15.75" customHeight="1" x14ac:dyDescent="0.35">
      <c r="A23" s="68" t="s">
        <v>23</v>
      </c>
      <c r="B23" s="68" t="s">
        <v>1</v>
      </c>
      <c r="C23" s="68" t="s">
        <v>2</v>
      </c>
      <c r="D23" s="68" t="s">
        <v>47</v>
      </c>
      <c r="E23" s="68" t="s">
        <v>48</v>
      </c>
      <c r="F23" s="68" t="s">
        <v>24</v>
      </c>
      <c r="G23" s="68" t="s">
        <v>25</v>
      </c>
      <c r="H23" s="68" t="s">
        <v>14</v>
      </c>
      <c r="I23" s="68" t="s">
        <v>15</v>
      </c>
    </row>
    <row r="24" spans="1:30" ht="15.75" customHeight="1" x14ac:dyDescent="0.35">
      <c r="A24" s="92"/>
      <c r="B24" s="86"/>
      <c r="C24" s="86"/>
      <c r="D24" s="81">
        <v>0</v>
      </c>
      <c r="E24" s="81">
        <v>0</v>
      </c>
      <c r="F24" s="85"/>
      <c r="G24" s="86"/>
      <c r="H24" s="87"/>
      <c r="I24" s="86"/>
    </row>
    <row r="25" spans="1:30" ht="15.75" customHeight="1" x14ac:dyDescent="0.35">
      <c r="A25" s="73" t="s">
        <v>29</v>
      </c>
      <c r="B25" s="81">
        <v>6161</v>
      </c>
      <c r="C25" s="81">
        <v>7980</v>
      </c>
      <c r="D25" s="81">
        <v>50815985</v>
      </c>
      <c r="E25" s="81">
        <v>26164050</v>
      </c>
      <c r="F25" s="82">
        <f t="shared" ref="F25:F37" si="29">B25/$B$25</f>
        <v>1</v>
      </c>
      <c r="G25" s="83">
        <f t="shared" ref="G25:G37" si="30">D25/B25</f>
        <v>8248.0092517448466</v>
      </c>
      <c r="H25" s="84">
        <f t="shared" ref="H25:I25" si="31">C25/B25</f>
        <v>1.2952442785262133</v>
      </c>
      <c r="I25" s="83">
        <f t="shared" si="31"/>
        <v>6367.917919799499</v>
      </c>
    </row>
    <row r="26" spans="1:30" ht="15.75" customHeight="1" x14ac:dyDescent="0.35">
      <c r="A26" s="73" t="s">
        <v>30</v>
      </c>
      <c r="B26" s="81">
        <v>619</v>
      </c>
      <c r="C26" s="81">
        <v>939</v>
      </c>
      <c r="D26" s="81">
        <v>5396435</v>
      </c>
      <c r="E26" s="81">
        <v>2596110</v>
      </c>
      <c r="F26" s="82">
        <f t="shared" si="29"/>
        <v>0.10047070280798572</v>
      </c>
      <c r="G26" s="83">
        <f t="shared" si="30"/>
        <v>8717.9886914378021</v>
      </c>
      <c r="H26" s="84">
        <f t="shared" ref="H26:I26" si="32">C26/B26</f>
        <v>1.5169628432956381</v>
      </c>
      <c r="I26" s="83">
        <f t="shared" si="32"/>
        <v>5747.0021299254522</v>
      </c>
    </row>
    <row r="27" spans="1:30" ht="15.75" customHeight="1" x14ac:dyDescent="0.35">
      <c r="A27" s="73" t="s">
        <v>31</v>
      </c>
      <c r="B27" s="81">
        <v>546</v>
      </c>
      <c r="C27" s="81">
        <v>855</v>
      </c>
      <c r="D27" s="81">
        <v>4014505</v>
      </c>
      <c r="E27" s="81">
        <v>1990010</v>
      </c>
      <c r="F27" s="82">
        <f t="shared" si="29"/>
        <v>8.8621976951793538E-2</v>
      </c>
      <c r="G27" s="83">
        <f t="shared" si="30"/>
        <v>7352.5732600732599</v>
      </c>
      <c r="H27" s="84">
        <f t="shared" ref="H27:I27" si="33">C27/B27</f>
        <v>1.5659340659340659</v>
      </c>
      <c r="I27" s="83">
        <f t="shared" si="33"/>
        <v>4695.3274853801167</v>
      </c>
    </row>
    <row r="28" spans="1:30" ht="15.75" customHeight="1" x14ac:dyDescent="0.35">
      <c r="A28" s="73" t="s">
        <v>32</v>
      </c>
      <c r="B28" s="81">
        <v>451</v>
      </c>
      <c r="C28" s="81">
        <v>696</v>
      </c>
      <c r="D28" s="81">
        <v>3515930</v>
      </c>
      <c r="E28" s="81">
        <v>1742015</v>
      </c>
      <c r="F28" s="82">
        <f t="shared" si="29"/>
        <v>7.3202402207433862E-2</v>
      </c>
      <c r="G28" s="83">
        <f t="shared" si="30"/>
        <v>7795.8536585365855</v>
      </c>
      <c r="H28" s="84">
        <f t="shared" ref="H28:I28" si="34">C28/B28</f>
        <v>1.5432372505543237</v>
      </c>
      <c r="I28" s="83">
        <f t="shared" si="34"/>
        <v>5051.6235632183907</v>
      </c>
    </row>
    <row r="29" spans="1:30" ht="15.75" customHeight="1" x14ac:dyDescent="0.35">
      <c r="A29" s="73" t="s">
        <v>33</v>
      </c>
      <c r="B29" s="81">
        <v>939</v>
      </c>
      <c r="C29" s="81">
        <v>1579</v>
      </c>
      <c r="D29" s="81">
        <v>8754185</v>
      </c>
      <c r="E29" s="81">
        <v>4264700</v>
      </c>
      <c r="F29" s="82">
        <f t="shared" si="29"/>
        <v>0.15241032299951307</v>
      </c>
      <c r="G29" s="83">
        <f t="shared" si="30"/>
        <v>9322.8807241746545</v>
      </c>
      <c r="H29" s="84">
        <f t="shared" ref="H29:I29" si="35">C29/B29</f>
        <v>1.6815761448349307</v>
      </c>
      <c r="I29" s="83">
        <f t="shared" si="35"/>
        <v>5544.1323622545915</v>
      </c>
    </row>
    <row r="30" spans="1:30" ht="15.75" customHeight="1" x14ac:dyDescent="0.35">
      <c r="A30" s="73" t="s">
        <v>34</v>
      </c>
      <c r="B30" s="81">
        <v>418</v>
      </c>
      <c r="C30" s="81">
        <v>687</v>
      </c>
      <c r="D30" s="81">
        <v>3430020</v>
      </c>
      <c r="E30" s="81">
        <v>1596375</v>
      </c>
      <c r="F30" s="82">
        <f t="shared" si="29"/>
        <v>6.7846128875182599E-2</v>
      </c>
      <c r="G30" s="83">
        <f t="shared" si="30"/>
        <v>8205.78947368421</v>
      </c>
      <c r="H30" s="84">
        <f t="shared" ref="H30:I30" si="36">C30/B30</f>
        <v>1.6435406698564594</v>
      </c>
      <c r="I30" s="83">
        <f t="shared" si="36"/>
        <v>4992.7510917030568</v>
      </c>
    </row>
    <row r="31" spans="1:30" ht="15.75" customHeight="1" x14ac:dyDescent="0.35">
      <c r="A31" s="73" t="s">
        <v>35</v>
      </c>
      <c r="B31" s="81">
        <v>442</v>
      </c>
      <c r="C31" s="81">
        <v>738</v>
      </c>
      <c r="D31" s="81">
        <v>3375460</v>
      </c>
      <c r="E31" s="81">
        <v>1614635</v>
      </c>
      <c r="F31" s="82">
        <f t="shared" si="29"/>
        <v>7.1741600389547147E-2</v>
      </c>
      <c r="G31" s="83">
        <f t="shared" si="30"/>
        <v>7636.7873303167416</v>
      </c>
      <c r="H31" s="84">
        <f t="shared" ref="H31:I31" si="37">C31/B31</f>
        <v>1.6696832579185521</v>
      </c>
      <c r="I31" s="83">
        <f t="shared" si="37"/>
        <v>4573.794037940379</v>
      </c>
    </row>
    <row r="32" spans="1:30" ht="14.5" x14ac:dyDescent="0.35">
      <c r="A32" s="73" t="s">
        <v>36</v>
      </c>
      <c r="B32" s="81">
        <v>430</v>
      </c>
      <c r="C32" s="81">
        <v>731</v>
      </c>
      <c r="D32" s="81">
        <v>3476385</v>
      </c>
      <c r="E32" s="81">
        <v>1640210</v>
      </c>
      <c r="F32" s="82">
        <f t="shared" si="29"/>
        <v>6.979386463236488E-2</v>
      </c>
      <c r="G32" s="83">
        <f t="shared" si="30"/>
        <v>8084.6162790697672</v>
      </c>
      <c r="H32" s="84">
        <f t="shared" ref="H32:I32" si="38">C32/B32</f>
        <v>1.7</v>
      </c>
      <c r="I32" s="83">
        <f t="shared" si="38"/>
        <v>4755.6566347469225</v>
      </c>
    </row>
    <row r="33" spans="1:18" ht="14.5" x14ac:dyDescent="0.35">
      <c r="A33" s="73" t="s">
        <v>37</v>
      </c>
      <c r="B33" s="81">
        <v>885</v>
      </c>
      <c r="C33" s="81">
        <v>1542</v>
      </c>
      <c r="D33" s="81">
        <v>8510590</v>
      </c>
      <c r="E33" s="81">
        <v>4095850</v>
      </c>
      <c r="F33" s="82">
        <f t="shared" si="29"/>
        <v>0.14364551209219284</v>
      </c>
      <c r="G33" s="83">
        <f t="shared" si="30"/>
        <v>9616.4858757062138</v>
      </c>
      <c r="H33" s="84">
        <f t="shared" ref="H33:I33" si="39">C33/B33</f>
        <v>1.7423728813559323</v>
      </c>
      <c r="I33" s="83">
        <f t="shared" si="39"/>
        <v>5519.1893644617376</v>
      </c>
    </row>
    <row r="34" spans="1:18" ht="14.5" x14ac:dyDescent="0.35">
      <c r="A34" s="73" t="s">
        <v>38</v>
      </c>
      <c r="B34" s="81">
        <v>381</v>
      </c>
      <c r="C34" s="81">
        <v>625</v>
      </c>
      <c r="D34" s="81">
        <v>3439535</v>
      </c>
      <c r="E34" s="81">
        <v>1651705</v>
      </c>
      <c r="F34" s="82">
        <f t="shared" si="29"/>
        <v>6.1840610290537251E-2</v>
      </c>
      <c r="G34" s="83">
        <f t="shared" si="30"/>
        <v>9027.6509186351705</v>
      </c>
      <c r="H34" s="84">
        <f t="shared" ref="H34:I34" si="40">C34/B34</f>
        <v>1.6404199475065617</v>
      </c>
      <c r="I34" s="83">
        <f t="shared" si="40"/>
        <v>5503.2560000000003</v>
      </c>
    </row>
    <row r="35" spans="1:18" ht="14.5" x14ac:dyDescent="0.35">
      <c r="A35" s="73" t="s">
        <v>39</v>
      </c>
      <c r="B35" s="81">
        <v>384</v>
      </c>
      <c r="C35" s="81">
        <v>654</v>
      </c>
      <c r="D35" s="81">
        <v>3467475</v>
      </c>
      <c r="E35" s="81">
        <v>1650495</v>
      </c>
      <c r="F35" s="82">
        <f t="shared" si="29"/>
        <v>6.2327544229832818E-2</v>
      </c>
      <c r="G35" s="83">
        <f t="shared" si="30"/>
        <v>9029.8828125</v>
      </c>
      <c r="H35" s="84">
        <f t="shared" ref="H35:I35" si="41">C35/B35</f>
        <v>1.703125</v>
      </c>
      <c r="I35" s="83">
        <f t="shared" si="41"/>
        <v>5301.9495412844035</v>
      </c>
    </row>
    <row r="36" spans="1:18" ht="29" x14ac:dyDescent="0.35">
      <c r="A36" s="73" t="s">
        <v>40</v>
      </c>
      <c r="B36" s="81">
        <v>351</v>
      </c>
      <c r="C36" s="81">
        <v>561</v>
      </c>
      <c r="D36" s="81">
        <v>2413840</v>
      </c>
      <c r="E36" s="81">
        <v>1158025</v>
      </c>
      <c r="F36" s="82">
        <f t="shared" si="29"/>
        <v>5.6971270897581562E-2</v>
      </c>
      <c r="G36" s="83">
        <f t="shared" si="30"/>
        <v>6877.0370370370374</v>
      </c>
      <c r="H36" s="84">
        <f t="shared" ref="H36:I36" si="42">C36/B36</f>
        <v>1.5982905982905984</v>
      </c>
      <c r="I36" s="83">
        <f t="shared" si="42"/>
        <v>4302.7450980392159</v>
      </c>
      <c r="K36" s="95" t="s">
        <v>49</v>
      </c>
      <c r="R36" s="96" t="s">
        <v>25</v>
      </c>
    </row>
    <row r="37" spans="1:18" ht="14.5" x14ac:dyDescent="0.35">
      <c r="A37" s="73" t="s">
        <v>41</v>
      </c>
      <c r="B37" s="81">
        <v>743</v>
      </c>
      <c r="C37" s="81">
        <v>1364</v>
      </c>
      <c r="D37" s="81">
        <v>7542645</v>
      </c>
      <c r="E37" s="81">
        <v>3669875</v>
      </c>
      <c r="F37" s="82">
        <f t="shared" si="29"/>
        <v>0.12059730563220257</v>
      </c>
      <c r="G37" s="83">
        <f t="shared" si="30"/>
        <v>10151.608344549126</v>
      </c>
      <c r="H37" s="84">
        <f t="shared" ref="H37:I37" si="43">C37/B37</f>
        <v>1.835800807537012</v>
      </c>
      <c r="I37" s="83">
        <f t="shared" si="43"/>
        <v>5529.7983870967746</v>
      </c>
    </row>
    <row r="38" spans="1:18" ht="13" x14ac:dyDescent="0.3">
      <c r="A38" s="92"/>
      <c r="B38" s="86"/>
      <c r="C38" s="83">
        <f t="shared" ref="C38:E38" si="44">STDEV(C25:C33)/AVERAGE(C25:C33)</f>
        <v>1.3502010953398882</v>
      </c>
      <c r="D38" s="83">
        <f t="shared" si="44"/>
        <v>1.5186146842945647</v>
      </c>
      <c r="E38" s="83">
        <f t="shared" si="44"/>
        <v>1.5707444870348233</v>
      </c>
      <c r="F38" s="85"/>
      <c r="G38" s="86"/>
      <c r="H38" s="87"/>
      <c r="I38" s="86"/>
    </row>
    <row r="39" spans="1:18" ht="13" x14ac:dyDescent="0.3">
      <c r="A39" s="94"/>
    </row>
    <row r="40" spans="1:18" ht="13" x14ac:dyDescent="0.3">
      <c r="A40" s="94"/>
    </row>
    <row r="41" spans="1:18" ht="14.5" x14ac:dyDescent="0.35">
      <c r="A41" s="63" t="s">
        <v>46</v>
      </c>
      <c r="B41" s="64"/>
      <c r="C41" s="64"/>
      <c r="D41" s="64"/>
      <c r="E41" s="64"/>
      <c r="F41" s="65"/>
      <c r="G41" s="67"/>
      <c r="H41" s="66"/>
      <c r="I41" s="67"/>
    </row>
    <row r="42" spans="1:18" ht="43.5" x14ac:dyDescent="0.35">
      <c r="A42" s="68" t="s">
        <v>23</v>
      </c>
      <c r="B42" s="68" t="s">
        <v>1</v>
      </c>
      <c r="C42" s="68" t="s">
        <v>2</v>
      </c>
      <c r="D42" s="68" t="s">
        <v>50</v>
      </c>
      <c r="E42" s="68" t="s">
        <v>51</v>
      </c>
      <c r="F42" s="68" t="s">
        <v>24</v>
      </c>
      <c r="G42" s="68" t="s">
        <v>25</v>
      </c>
      <c r="H42" s="68" t="s">
        <v>14</v>
      </c>
      <c r="I42" s="68" t="s">
        <v>15</v>
      </c>
    </row>
    <row r="43" spans="1:18" ht="14.5" x14ac:dyDescent="0.35">
      <c r="A43" s="92"/>
      <c r="B43" s="86"/>
      <c r="C43" s="86"/>
      <c r="D43" s="81">
        <v>0</v>
      </c>
      <c r="E43" s="81">
        <v>0</v>
      </c>
      <c r="F43" s="85"/>
      <c r="G43" s="97"/>
      <c r="H43" s="87"/>
      <c r="I43" s="97"/>
    </row>
    <row r="44" spans="1:18" ht="14.5" x14ac:dyDescent="0.35">
      <c r="A44" s="92"/>
      <c r="B44" s="86"/>
      <c r="C44" s="86"/>
      <c r="D44" s="81">
        <v>0</v>
      </c>
      <c r="E44" s="81">
        <v>0</v>
      </c>
      <c r="F44" s="85"/>
      <c r="G44" s="97"/>
      <c r="H44" s="87"/>
      <c r="I44" s="97"/>
    </row>
    <row r="45" spans="1:18" ht="14.5" x14ac:dyDescent="0.35">
      <c r="A45" s="92"/>
      <c r="B45" s="86"/>
      <c r="C45" s="86"/>
      <c r="D45" s="81">
        <v>0</v>
      </c>
      <c r="E45" s="81">
        <v>0</v>
      </c>
      <c r="F45" s="85"/>
      <c r="G45" s="97"/>
      <c r="H45" s="87"/>
      <c r="I45" s="97"/>
    </row>
    <row r="46" spans="1:18" ht="14.5" x14ac:dyDescent="0.35">
      <c r="A46" s="92"/>
      <c r="B46" s="86"/>
      <c r="C46" s="86"/>
      <c r="D46" s="81">
        <v>0</v>
      </c>
      <c r="E46" s="81">
        <v>0</v>
      </c>
      <c r="F46" s="85"/>
      <c r="G46" s="97"/>
      <c r="H46" s="87"/>
      <c r="I46" s="97"/>
    </row>
    <row r="47" spans="1:18" ht="14.5" x14ac:dyDescent="0.35">
      <c r="A47" s="92"/>
      <c r="B47" s="86"/>
      <c r="C47" s="86"/>
      <c r="D47" s="81">
        <v>0</v>
      </c>
      <c r="E47" s="81">
        <v>0</v>
      </c>
      <c r="F47" s="85"/>
      <c r="G47" s="97"/>
      <c r="H47" s="87"/>
      <c r="I47" s="97"/>
    </row>
    <row r="48" spans="1:18" ht="14.5" x14ac:dyDescent="0.35">
      <c r="A48" s="73" t="s">
        <v>33</v>
      </c>
      <c r="B48" s="81">
        <v>5881</v>
      </c>
      <c r="C48" s="81">
        <v>7651</v>
      </c>
      <c r="D48" s="81">
        <v>46089890</v>
      </c>
      <c r="E48" s="81">
        <v>22577830</v>
      </c>
      <c r="F48" s="98">
        <f t="shared" ref="F48:F56" si="45">C48/$C$48</f>
        <v>1</v>
      </c>
      <c r="G48" s="99">
        <f t="shared" ref="G48:G56" si="46">D48/B48</f>
        <v>7837.0838292807348</v>
      </c>
      <c r="H48" s="100">
        <f t="shared" ref="H48:I48" si="47">C48/B48</f>
        <v>1.3009692229212719</v>
      </c>
      <c r="I48" s="99">
        <f t="shared" si="47"/>
        <v>6024.0347666971638</v>
      </c>
    </row>
    <row r="49" spans="1:18" ht="14.5" x14ac:dyDescent="0.35">
      <c r="A49" s="73" t="s">
        <v>34</v>
      </c>
      <c r="B49" s="81">
        <v>690</v>
      </c>
      <c r="C49" s="81">
        <v>1011</v>
      </c>
      <c r="D49" s="81">
        <v>5531845</v>
      </c>
      <c r="E49" s="81">
        <v>2540340</v>
      </c>
      <c r="F49" s="98">
        <f t="shared" si="45"/>
        <v>0.13213958959613123</v>
      </c>
      <c r="G49" s="99">
        <f t="shared" si="46"/>
        <v>8017.166666666667</v>
      </c>
      <c r="H49" s="100">
        <f t="shared" ref="H49:I49" si="48">C49/B49</f>
        <v>1.4652173913043478</v>
      </c>
      <c r="I49" s="99">
        <f t="shared" si="48"/>
        <v>5471.6567754698317</v>
      </c>
    </row>
    <row r="50" spans="1:18" ht="14.5" x14ac:dyDescent="0.35">
      <c r="A50" s="73" t="s">
        <v>35</v>
      </c>
      <c r="B50" s="81">
        <v>473</v>
      </c>
      <c r="C50" s="81">
        <v>675</v>
      </c>
      <c r="D50" s="81">
        <v>3571370</v>
      </c>
      <c r="E50" s="81">
        <v>1677170</v>
      </c>
      <c r="F50" s="98">
        <f t="shared" si="45"/>
        <v>8.8223761599790881E-2</v>
      </c>
      <c r="G50" s="99">
        <f t="shared" si="46"/>
        <v>7550.4651162790697</v>
      </c>
      <c r="H50" s="100">
        <f t="shared" ref="H50:I50" si="49">C50/B50</f>
        <v>1.427061310782241</v>
      </c>
      <c r="I50" s="99">
        <f t="shared" si="49"/>
        <v>5290.9185185185188</v>
      </c>
    </row>
    <row r="51" spans="1:18" ht="14.5" x14ac:dyDescent="0.35">
      <c r="A51" s="73" t="s">
        <v>36</v>
      </c>
      <c r="B51" s="81">
        <v>420</v>
      </c>
      <c r="C51" s="81">
        <v>601</v>
      </c>
      <c r="D51" s="81">
        <v>2838000</v>
      </c>
      <c r="E51" s="81">
        <v>1371040</v>
      </c>
      <c r="F51" s="98">
        <f t="shared" si="45"/>
        <v>7.8551823291073061E-2</v>
      </c>
      <c r="G51" s="99">
        <f t="shared" si="46"/>
        <v>6757.1428571428569</v>
      </c>
      <c r="H51" s="100">
        <f t="shared" ref="H51:I51" si="50">C51/B51</f>
        <v>1.430952380952381</v>
      </c>
      <c r="I51" s="99">
        <f t="shared" si="50"/>
        <v>4722.1297836938438</v>
      </c>
    </row>
    <row r="52" spans="1:18" ht="14.5" x14ac:dyDescent="0.35">
      <c r="A52" s="73" t="s">
        <v>37</v>
      </c>
      <c r="B52" s="81">
        <v>999</v>
      </c>
      <c r="C52" s="81">
        <v>1660</v>
      </c>
      <c r="D52" s="81">
        <v>8927160</v>
      </c>
      <c r="E52" s="81">
        <v>4306665</v>
      </c>
      <c r="F52" s="98">
        <f t="shared" si="45"/>
        <v>0.21696510260096719</v>
      </c>
      <c r="G52" s="99">
        <f t="shared" si="46"/>
        <v>8936.0960960960965</v>
      </c>
      <c r="H52" s="100">
        <f t="shared" ref="H52:I52" si="51">C52/B52</f>
        <v>1.6616616616616617</v>
      </c>
      <c r="I52" s="99">
        <f t="shared" si="51"/>
        <v>5377.8072289156626</v>
      </c>
    </row>
    <row r="53" spans="1:18" ht="14.5" x14ac:dyDescent="0.35">
      <c r="A53" s="73" t="s">
        <v>38</v>
      </c>
      <c r="B53" s="81">
        <v>387</v>
      </c>
      <c r="C53" s="81">
        <v>562</v>
      </c>
      <c r="D53" s="81">
        <v>3135275</v>
      </c>
      <c r="E53" s="81">
        <v>1509805</v>
      </c>
      <c r="F53" s="98">
        <f t="shared" si="45"/>
        <v>7.3454450398640694E-2</v>
      </c>
      <c r="G53" s="99">
        <f t="shared" si="46"/>
        <v>8101.485788113695</v>
      </c>
      <c r="H53" s="100">
        <f t="shared" ref="H53:I53" si="52">C53/B53</f>
        <v>1.4521963824289406</v>
      </c>
      <c r="I53" s="99">
        <f t="shared" si="52"/>
        <v>5578.7811387900356</v>
      </c>
    </row>
    <row r="54" spans="1:18" ht="14.5" x14ac:dyDescent="0.35">
      <c r="A54" s="73" t="s">
        <v>39</v>
      </c>
      <c r="B54" s="81">
        <v>343</v>
      </c>
      <c r="C54" s="81">
        <v>522</v>
      </c>
      <c r="D54" s="81">
        <v>2546775</v>
      </c>
      <c r="E54" s="81">
        <v>1241075</v>
      </c>
      <c r="F54" s="98">
        <f t="shared" si="45"/>
        <v>6.8226375637171613E-2</v>
      </c>
      <c r="G54" s="99">
        <f t="shared" si="46"/>
        <v>7425</v>
      </c>
      <c r="H54" s="100">
        <f t="shared" ref="H54:I54" si="53">C54/B54</f>
        <v>1.5218658892128281</v>
      </c>
      <c r="I54" s="99">
        <f t="shared" si="53"/>
        <v>4878.8793103448279</v>
      </c>
    </row>
    <row r="55" spans="1:18" ht="14.5" x14ac:dyDescent="0.35">
      <c r="A55" s="73" t="s">
        <v>40</v>
      </c>
      <c r="B55" s="81">
        <v>356</v>
      </c>
      <c r="C55" s="81">
        <v>518</v>
      </c>
      <c r="D55" s="81">
        <v>2251975</v>
      </c>
      <c r="E55" s="81">
        <v>1074480</v>
      </c>
      <c r="F55" s="98">
        <f t="shared" si="45"/>
        <v>6.7703568161024699E-2</v>
      </c>
      <c r="G55" s="99">
        <f t="shared" si="46"/>
        <v>6325.7724719101125</v>
      </c>
      <c r="H55" s="100">
        <f t="shared" ref="H55:I55" si="54">C55/B55</f>
        <v>1.4550561797752808</v>
      </c>
      <c r="I55" s="99">
        <f t="shared" si="54"/>
        <v>4347.4420849420849</v>
      </c>
      <c r="K55" s="95" t="s">
        <v>14</v>
      </c>
    </row>
    <row r="56" spans="1:18" ht="14.5" x14ac:dyDescent="0.35">
      <c r="A56" s="73" t="s">
        <v>41</v>
      </c>
      <c r="B56" s="81">
        <v>778</v>
      </c>
      <c r="C56" s="81">
        <v>1300</v>
      </c>
      <c r="D56" s="81">
        <v>7285410</v>
      </c>
      <c r="E56" s="81">
        <v>3469510</v>
      </c>
      <c r="F56" s="98">
        <f t="shared" si="45"/>
        <v>0.1699124297477454</v>
      </c>
      <c r="G56" s="99">
        <f t="shared" si="46"/>
        <v>9364.2802056555265</v>
      </c>
      <c r="H56" s="100">
        <f t="shared" ref="H56:I56" si="55">C56/B56</f>
        <v>1.6709511568123394</v>
      </c>
      <c r="I56" s="99">
        <f t="shared" si="55"/>
        <v>5604.1615384615388</v>
      </c>
      <c r="R56" s="95" t="s">
        <v>15</v>
      </c>
    </row>
    <row r="57" spans="1:18" ht="12.5" x14ac:dyDescent="0.25">
      <c r="A57" s="86"/>
      <c r="B57" s="86"/>
      <c r="C57" s="83">
        <f t="shared" ref="C57:E57" si="56">STDEV(C42:C56)/AVERAGE(C42:C56)</f>
        <v>1.4275505992560771</v>
      </c>
      <c r="D57" s="83">
        <f t="shared" si="56"/>
        <v>2.0309159162867818</v>
      </c>
      <c r="E57" s="83">
        <f t="shared" si="56"/>
        <v>2.0562240469385347</v>
      </c>
      <c r="F57" s="85"/>
      <c r="G57" s="97"/>
      <c r="H57" s="87"/>
      <c r="I57" s="9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K32"/>
  <sheetViews>
    <sheetView workbookViewId="0"/>
  </sheetViews>
  <sheetFormatPr defaultColWidth="12.6328125" defaultRowHeight="15.75" customHeight="1" x14ac:dyDescent="0.25"/>
  <cols>
    <col min="1" max="1" width="15.90625" customWidth="1"/>
    <col min="7" max="7" width="15.90625" customWidth="1"/>
  </cols>
  <sheetData>
    <row r="2" spans="1:11" ht="15.75" customHeight="1" x14ac:dyDescent="0.35">
      <c r="A2" s="101"/>
      <c r="B2" s="102"/>
      <c r="C2" s="102"/>
      <c r="D2" s="102"/>
      <c r="E2" s="102"/>
      <c r="G2" s="103" t="s">
        <v>3</v>
      </c>
      <c r="H2" s="104"/>
      <c r="I2" s="104"/>
      <c r="J2" s="104"/>
      <c r="K2" s="104"/>
    </row>
    <row r="3" spans="1:11" ht="15.75" customHeight="1" x14ac:dyDescent="0.35">
      <c r="A3" s="102"/>
      <c r="B3" s="5"/>
      <c r="C3" s="5"/>
      <c r="D3" s="5"/>
      <c r="E3" s="5"/>
      <c r="G3" s="105"/>
      <c r="H3" s="106">
        <v>2021</v>
      </c>
      <c r="I3" s="106">
        <v>2022</v>
      </c>
      <c r="J3" s="106">
        <v>2023</v>
      </c>
      <c r="K3" s="106">
        <v>2024</v>
      </c>
    </row>
    <row r="4" spans="1:11" ht="15.75" customHeight="1" x14ac:dyDescent="0.35">
      <c r="A4" s="5"/>
      <c r="B4" s="40"/>
      <c r="C4" s="40"/>
      <c r="D4" s="40"/>
      <c r="E4" s="40"/>
      <c r="G4" s="107" t="s">
        <v>52</v>
      </c>
      <c r="H4" s="108">
        <v>75539904</v>
      </c>
      <c r="I4" s="108">
        <v>61713305.500000007</v>
      </c>
      <c r="J4" s="108">
        <v>57535362.5</v>
      </c>
      <c r="K4" s="108">
        <v>55477922.5</v>
      </c>
    </row>
    <row r="5" spans="1:11" ht="15.75" customHeight="1" x14ac:dyDescent="0.35">
      <c r="A5" s="5"/>
      <c r="B5" s="40"/>
      <c r="C5" s="40"/>
      <c r="D5" s="40"/>
      <c r="E5" s="40"/>
      <c r="G5" s="107">
        <v>2021</v>
      </c>
      <c r="H5" s="108">
        <v>131869556.49999999</v>
      </c>
      <c r="I5" s="108">
        <v>52597105</v>
      </c>
      <c r="J5" s="108">
        <v>45025838</v>
      </c>
      <c r="K5" s="108">
        <v>41006845</v>
      </c>
    </row>
    <row r="6" spans="1:11" ht="15.75" customHeight="1" x14ac:dyDescent="0.35">
      <c r="A6" s="5"/>
      <c r="B6" s="40"/>
      <c r="C6" s="40"/>
      <c r="D6" s="40"/>
      <c r="E6" s="40"/>
      <c r="G6" s="107">
        <v>2022</v>
      </c>
      <c r="H6" s="108">
        <v>0</v>
      </c>
      <c r="I6" s="108">
        <v>106151952.5</v>
      </c>
      <c r="J6" s="108">
        <v>40414088</v>
      </c>
      <c r="K6" s="108">
        <v>31974173</v>
      </c>
    </row>
    <row r="7" spans="1:11" ht="15.75" customHeight="1" x14ac:dyDescent="0.35">
      <c r="A7" s="5"/>
      <c r="B7" s="40"/>
      <c r="C7" s="40"/>
      <c r="D7" s="40"/>
      <c r="E7" s="40"/>
      <c r="G7" s="107">
        <v>2023</v>
      </c>
      <c r="H7" s="108">
        <v>0</v>
      </c>
      <c r="I7" s="108">
        <v>0</v>
      </c>
      <c r="J7" s="108">
        <v>123174633.99999999</v>
      </c>
      <c r="K7" s="108">
        <v>44414436</v>
      </c>
    </row>
    <row r="8" spans="1:11" ht="15.75" customHeight="1" x14ac:dyDescent="0.35">
      <c r="A8" s="5"/>
      <c r="B8" s="40"/>
      <c r="C8" s="40"/>
      <c r="D8" s="40"/>
      <c r="E8" s="40"/>
      <c r="G8" s="107">
        <v>2024</v>
      </c>
      <c r="H8" s="108">
        <v>0</v>
      </c>
      <c r="I8" s="108">
        <v>0</v>
      </c>
      <c r="J8" s="108">
        <v>0</v>
      </c>
      <c r="K8" s="108">
        <v>152727327.5</v>
      </c>
    </row>
    <row r="9" spans="1:11" ht="15.75" customHeight="1" x14ac:dyDescent="0.25">
      <c r="A9" s="102"/>
      <c r="B9" s="102"/>
      <c r="C9" s="102"/>
      <c r="D9" s="102"/>
      <c r="E9" s="102"/>
      <c r="G9" s="105"/>
      <c r="H9" s="104"/>
      <c r="I9" s="104"/>
      <c r="J9" s="104"/>
      <c r="K9" s="104"/>
    </row>
    <row r="10" spans="1:11" ht="15.75" customHeight="1" x14ac:dyDescent="0.35">
      <c r="A10" s="101"/>
      <c r="B10" s="102"/>
      <c r="C10" s="102"/>
      <c r="D10" s="102"/>
      <c r="E10" s="102"/>
      <c r="G10" s="103" t="s">
        <v>4</v>
      </c>
      <c r="H10" s="104"/>
      <c r="I10" s="104"/>
      <c r="J10" s="104"/>
      <c r="K10" s="104"/>
    </row>
    <row r="11" spans="1:11" ht="15.75" customHeight="1" x14ac:dyDescent="0.35">
      <c r="A11" s="102"/>
      <c r="B11" s="5"/>
      <c r="C11" s="5"/>
      <c r="D11" s="5"/>
      <c r="E11" s="5"/>
      <c r="G11" s="105"/>
      <c r="H11" s="106">
        <v>2021</v>
      </c>
      <c r="I11" s="106">
        <v>2022</v>
      </c>
      <c r="J11" s="106">
        <v>2023</v>
      </c>
      <c r="K11" s="106">
        <v>2024</v>
      </c>
    </row>
    <row r="12" spans="1:11" ht="15.75" customHeight="1" x14ac:dyDescent="0.35">
      <c r="A12" s="5"/>
      <c r="B12" s="40"/>
      <c r="C12" s="40"/>
      <c r="D12" s="40"/>
      <c r="E12" s="40"/>
      <c r="G12" s="107" t="s">
        <v>52</v>
      </c>
      <c r="H12" s="108">
        <v>37487741.5</v>
      </c>
      <c r="I12" s="108">
        <v>30335338</v>
      </c>
      <c r="J12" s="108">
        <v>27485474.5</v>
      </c>
      <c r="K12" s="108">
        <v>26831497</v>
      </c>
    </row>
    <row r="13" spans="1:11" ht="15.75" customHeight="1" x14ac:dyDescent="0.35">
      <c r="A13" s="5"/>
      <c r="B13" s="40"/>
      <c r="C13" s="40"/>
      <c r="D13" s="40"/>
      <c r="E13" s="40"/>
      <c r="G13" s="107">
        <v>2021</v>
      </c>
      <c r="H13" s="108">
        <v>66061534</v>
      </c>
      <c r="I13" s="108">
        <v>25603149</v>
      </c>
      <c r="J13" s="108">
        <v>21266118.5</v>
      </c>
      <c r="K13" s="108">
        <v>19554051</v>
      </c>
    </row>
    <row r="14" spans="1:11" ht="15.75" customHeight="1" x14ac:dyDescent="0.35">
      <c r="A14" s="5"/>
      <c r="B14" s="40"/>
      <c r="C14" s="40"/>
      <c r="D14" s="40"/>
      <c r="E14" s="40"/>
      <c r="G14" s="107">
        <v>2022</v>
      </c>
      <c r="H14" s="108">
        <v>0</v>
      </c>
      <c r="I14" s="108">
        <v>51967833.5</v>
      </c>
      <c r="J14" s="108">
        <v>19015788</v>
      </c>
      <c r="K14" s="108">
        <v>15258798.5</v>
      </c>
    </row>
    <row r="15" spans="1:11" ht="15.75" customHeight="1" x14ac:dyDescent="0.35">
      <c r="A15" s="5"/>
      <c r="B15" s="40"/>
      <c r="C15" s="40"/>
      <c r="D15" s="40"/>
      <c r="E15" s="40"/>
      <c r="G15" s="107">
        <v>2023</v>
      </c>
      <c r="H15" s="108">
        <v>0</v>
      </c>
      <c r="I15" s="108">
        <v>0</v>
      </c>
      <c r="J15" s="108">
        <v>59071749</v>
      </c>
      <c r="K15" s="108">
        <v>20970295.5</v>
      </c>
    </row>
    <row r="16" spans="1:11" ht="15.75" customHeight="1" x14ac:dyDescent="0.35">
      <c r="A16" s="5"/>
      <c r="B16" s="40"/>
      <c r="C16" s="40"/>
      <c r="D16" s="40"/>
      <c r="E16" s="40"/>
      <c r="G16" s="107">
        <v>2024</v>
      </c>
      <c r="H16" s="108">
        <v>0</v>
      </c>
      <c r="I16" s="108">
        <v>0</v>
      </c>
      <c r="J16" s="108">
        <v>0</v>
      </c>
      <c r="K16" s="108">
        <v>73401526</v>
      </c>
    </row>
    <row r="17" spans="1:11" ht="15.75" customHeight="1" x14ac:dyDescent="0.25">
      <c r="A17" s="102"/>
      <c r="B17" s="102"/>
      <c r="C17" s="102"/>
      <c r="D17" s="102"/>
      <c r="E17" s="102"/>
      <c r="G17" s="105"/>
      <c r="H17" s="104"/>
      <c r="I17" s="104"/>
      <c r="J17" s="104"/>
      <c r="K17" s="104"/>
    </row>
    <row r="18" spans="1:11" ht="15.75" customHeight="1" x14ac:dyDescent="0.35">
      <c r="A18" s="101"/>
      <c r="B18" s="102"/>
      <c r="C18" s="102"/>
      <c r="D18" s="102"/>
      <c r="E18" s="102"/>
      <c r="G18" s="103" t="s">
        <v>1</v>
      </c>
      <c r="H18" s="104"/>
      <c r="I18" s="104"/>
      <c r="J18" s="104"/>
      <c r="K18" s="104"/>
    </row>
    <row r="19" spans="1:11" ht="15.75" customHeight="1" x14ac:dyDescent="0.35">
      <c r="A19" s="102"/>
      <c r="B19" s="5"/>
      <c r="C19" s="5"/>
      <c r="D19" s="5"/>
      <c r="E19" s="5"/>
      <c r="G19" s="105"/>
      <c r="H19" s="106">
        <v>2021</v>
      </c>
      <c r="I19" s="106">
        <v>2022</v>
      </c>
      <c r="J19" s="106">
        <v>2023</v>
      </c>
      <c r="K19" s="106">
        <v>2024</v>
      </c>
    </row>
    <row r="20" spans="1:11" ht="15.75" customHeight="1" x14ac:dyDescent="0.35">
      <c r="A20" s="5"/>
      <c r="B20" s="40"/>
      <c r="C20" s="40"/>
      <c r="D20" s="40"/>
      <c r="E20" s="40"/>
      <c r="G20" s="107" t="s">
        <v>52</v>
      </c>
      <c r="H20" s="108">
        <v>5751</v>
      </c>
      <c r="I20" s="108">
        <v>4636</v>
      </c>
      <c r="J20" s="108">
        <v>4233</v>
      </c>
      <c r="K20" s="108">
        <v>3921</v>
      </c>
    </row>
    <row r="21" spans="1:11" ht="15.75" customHeight="1" x14ac:dyDescent="0.35">
      <c r="A21" s="5"/>
      <c r="B21" s="40"/>
      <c r="C21" s="40"/>
      <c r="D21" s="40"/>
      <c r="E21" s="40"/>
      <c r="G21" s="107">
        <v>2021</v>
      </c>
      <c r="H21" s="108">
        <v>14915</v>
      </c>
      <c r="I21" s="108">
        <v>4107</v>
      </c>
      <c r="J21" s="108">
        <v>3491</v>
      </c>
      <c r="K21" s="108">
        <v>3075</v>
      </c>
    </row>
    <row r="22" spans="1:11" ht="15.75" customHeight="1" x14ac:dyDescent="0.35">
      <c r="A22" s="5"/>
      <c r="B22" s="109"/>
      <c r="C22" s="40"/>
      <c r="D22" s="40"/>
      <c r="E22" s="40"/>
      <c r="G22" s="107">
        <v>2022</v>
      </c>
      <c r="H22" s="110"/>
      <c r="I22" s="108">
        <v>12720</v>
      </c>
      <c r="J22" s="108">
        <v>3389</v>
      </c>
      <c r="K22" s="108">
        <v>2686</v>
      </c>
    </row>
    <row r="23" spans="1:11" ht="15.75" customHeight="1" x14ac:dyDescent="0.35">
      <c r="A23" s="5"/>
      <c r="B23" s="109"/>
      <c r="C23" s="109"/>
      <c r="D23" s="40"/>
      <c r="E23" s="40"/>
      <c r="G23" s="107">
        <v>2023</v>
      </c>
      <c r="H23" s="110"/>
      <c r="I23" s="110"/>
      <c r="J23" s="108">
        <v>15166</v>
      </c>
      <c r="K23" s="108">
        <v>3799</v>
      </c>
    </row>
    <row r="24" spans="1:11" ht="15.75" customHeight="1" x14ac:dyDescent="0.35">
      <c r="A24" s="5"/>
      <c r="B24" s="109"/>
      <c r="C24" s="109"/>
      <c r="D24" s="109"/>
      <c r="E24" s="40"/>
      <c r="G24" s="107">
        <v>2024</v>
      </c>
      <c r="H24" s="110"/>
      <c r="I24" s="110"/>
      <c r="J24" s="110"/>
      <c r="K24" s="108">
        <v>18316</v>
      </c>
    </row>
    <row r="25" spans="1:11" ht="15.75" customHeight="1" x14ac:dyDescent="0.25">
      <c r="A25" s="102"/>
      <c r="B25" s="102"/>
      <c r="C25" s="102"/>
      <c r="D25" s="102"/>
      <c r="E25" s="102"/>
      <c r="G25" s="105"/>
      <c r="H25" s="104"/>
      <c r="I25" s="104"/>
      <c r="J25" s="104"/>
      <c r="K25" s="104"/>
    </row>
    <row r="26" spans="1:11" ht="15.75" customHeight="1" x14ac:dyDescent="0.35">
      <c r="A26" s="101"/>
      <c r="B26" s="102"/>
      <c r="C26" s="102"/>
      <c r="D26" s="102"/>
      <c r="E26" s="102"/>
      <c r="G26" s="103" t="s">
        <v>2</v>
      </c>
      <c r="H26" s="104"/>
      <c r="I26" s="104"/>
      <c r="J26" s="104"/>
      <c r="K26" s="104"/>
    </row>
    <row r="27" spans="1:11" ht="15.75" customHeight="1" x14ac:dyDescent="0.35">
      <c r="A27" s="102"/>
      <c r="B27" s="5"/>
      <c r="C27" s="5"/>
      <c r="D27" s="5"/>
      <c r="E27" s="5"/>
      <c r="G27" s="105"/>
      <c r="H27" s="106">
        <v>2021</v>
      </c>
      <c r="I27" s="106">
        <v>2022</v>
      </c>
      <c r="J27" s="106">
        <v>2023</v>
      </c>
      <c r="K27" s="106">
        <v>2024</v>
      </c>
    </row>
    <row r="28" spans="1:11" ht="15.75" customHeight="1" x14ac:dyDescent="0.35">
      <c r="A28" s="5"/>
      <c r="B28" s="40"/>
      <c r="C28" s="40"/>
      <c r="D28" s="40"/>
      <c r="E28" s="40"/>
      <c r="G28" s="107" t="s">
        <v>52</v>
      </c>
      <c r="H28" s="108">
        <v>13739</v>
      </c>
      <c r="I28" s="108">
        <v>11475</v>
      </c>
      <c r="J28" s="108">
        <v>11331</v>
      </c>
      <c r="K28" s="108">
        <v>10581</v>
      </c>
    </row>
    <row r="29" spans="1:11" ht="15.75" customHeight="1" x14ac:dyDescent="0.35">
      <c r="A29" s="5"/>
      <c r="B29" s="40"/>
      <c r="C29" s="40"/>
      <c r="D29" s="40"/>
      <c r="E29" s="40"/>
      <c r="G29" s="107">
        <v>2021</v>
      </c>
      <c r="H29" s="108">
        <v>22911</v>
      </c>
      <c r="I29" s="108">
        <v>10035</v>
      </c>
      <c r="J29" s="108">
        <v>9346</v>
      </c>
      <c r="K29" s="108">
        <v>8197</v>
      </c>
    </row>
    <row r="30" spans="1:11" ht="15.75" customHeight="1" x14ac:dyDescent="0.35">
      <c r="A30" s="5"/>
      <c r="B30" s="109"/>
      <c r="C30" s="40"/>
      <c r="D30" s="40"/>
      <c r="E30" s="40"/>
      <c r="G30" s="107">
        <v>2022</v>
      </c>
      <c r="H30" s="110"/>
      <c r="I30" s="108">
        <v>18640</v>
      </c>
      <c r="J30" s="108">
        <v>7992</v>
      </c>
      <c r="K30" s="108">
        <v>6336</v>
      </c>
    </row>
    <row r="31" spans="1:11" ht="15.75" customHeight="1" x14ac:dyDescent="0.35">
      <c r="A31" s="5"/>
      <c r="B31" s="109"/>
      <c r="C31" s="109"/>
      <c r="D31" s="40"/>
      <c r="E31" s="40"/>
      <c r="G31" s="107">
        <v>2023</v>
      </c>
      <c r="H31" s="110"/>
      <c r="I31" s="110"/>
      <c r="J31" s="108">
        <v>22735</v>
      </c>
      <c r="K31" s="108">
        <v>9002</v>
      </c>
    </row>
    <row r="32" spans="1:11" ht="14.5" x14ac:dyDescent="0.35">
      <c r="A32" s="5"/>
      <c r="B32" s="109"/>
      <c r="C32" s="109"/>
      <c r="D32" s="109"/>
      <c r="E32" s="40"/>
      <c r="G32" s="107">
        <v>2024</v>
      </c>
      <c r="H32" s="110"/>
      <c r="I32" s="110"/>
      <c r="J32" s="110"/>
      <c r="K32" s="108">
        <v>27144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Decile Analysis</vt:lpstr>
      <vt:lpstr>Cohort Analysis</vt:lpstr>
      <vt:lpstr>Cohort Analysis 3</vt:lpstr>
      <vt:lpstr>Yearly summarize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Lyubimov</dc:creator>
  <cp:lastModifiedBy>Kirill Lyubimov</cp:lastModifiedBy>
  <dcterms:created xsi:type="dcterms:W3CDTF">2026-03-11T06:40:56Z</dcterms:created>
  <dcterms:modified xsi:type="dcterms:W3CDTF">2026-03-11T06:40:56Z</dcterms:modified>
</cp:coreProperties>
</file>